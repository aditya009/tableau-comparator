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s>
  <definedNames>
    <definedName function="false" hidden="true" localSheetId="0" name="_xlnm._FilterDatabase" vbProcedure="false">'Test Cases'!$A$4:$L$51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<sst xmlns="http://schemas.openxmlformats.org/spreadsheetml/2006/main" count="501" uniqueCount="373">
  <si>
    <t xml:space="preserve">SharePoint Ingestion — Requirement Traceability &amp; Test Case Tracker</t>
  </si>
  <si>
    <t xml:space="preserve">Source requirement: Text.txt (US-01..US-07 + Databridge Pattern 3 design)  |  Evidence pack: Sharepoint Ingestion Screenshots.docx (17 captures, run of 2026-09-07)</t>
  </si>
  <si>
    <t xml:space="preserve">TC ID</t>
  </si>
  <si>
    <t xml:space="preserve">User Story</t>
  </si>
  <si>
    <t xml:space="preserve">Acceptance Criteria</t>
  </si>
  <si>
    <t xml:space="preserve">Test Case Description</t>
  </si>
  <si>
    <t xml:space="preserve">Test Steps</t>
  </si>
  <si>
    <t xml:space="preserve">Expected Result</t>
  </si>
  <si>
    <t xml:space="preserve">Evidence in Screenshot Doc</t>
  </si>
  <si>
    <t xml:space="preserve">Status</t>
  </si>
  <si>
    <t xml:space="preserve">Category</t>
  </si>
  <si>
    <t xml:space="preserve">Recommended Action</t>
  </si>
  <si>
    <t xml:space="preserve">Tester Actual Result</t>
  </si>
  <si>
    <t xml:space="preserve">Bug / Clarification Ref</t>
  </si>
  <si>
    <t xml:space="preserve">TC-01</t>
  </si>
  <si>
    <t xml:space="preserve">US-01 Control Config Management</t>
  </si>
  <si>
    <t xml:space="preserve">AC1 (schema fields)</t>
  </si>
  <si>
    <t xml:space="preserve">Verify sp_control_config.yml section structure matches the agreed field set</t>
  </si>
  <si>
    <t xml:space="preserve">Open sp_control_config.yml; inspect a job section (e.g. qps_index)</t>
  </si>
  <si>
    <t xml:space="preserve">Section contains: sp_folder_path, target_catalog, target_schema, volume_path, table_name (optional), ingestion_status_table, file_pattern, metadata_file (optional) — per US-01</t>
  </si>
  <si>
    <t xml:space="preserve">Screenshot 3 (sp_control_config.yml)</t>
  </si>
  <si>
    <t xml:space="preserve">Conflict</t>
  </si>
  <si>
    <t xml:space="preserve">Config schema</t>
  </si>
  <si>
    <t xml:space="preserve">Actual config uses sp_site + nested ingestion:{target_catalog,target_schema,table_name} block, no metadata_file field. Raise as a requirement-vs-implementation clarification, not a per-file bug, before testing US-01 AC1 pass/fail.</t>
  </si>
  <si>
    <t xml:space="preserve">TC-02</t>
  </si>
  <si>
    <t xml:space="preserve">AC2 (table_name defined -&gt; single table)</t>
  </si>
  <si>
    <t xml:space="preserve">Confirm that when table_name is a literal value, every file in that job lands in one shared Delta table</t>
  </si>
  <si>
    <t xml:space="preserve">Configure hmrc_test with table_name: hmrc-exrates-monthly; run pipeline with 5 source files in that folder</t>
  </si>
  <si>
    <t xml:space="preserve">All 5 files (exrates-monthly-0426/0526/0626/0726/0826.csv) append into the single table qbq_brg_dev_supply.test_schema.hmrc_exrates_monthly</t>
  </si>
  <si>
    <t xml:space="preserve">Screenshot 11 (reconciliation log), Screenshots 14-15 (test_schema table list)</t>
  </si>
  <si>
    <t xml:space="preserve">Evidenced</t>
  </si>
  <si>
    <t xml:space="preserve">Positive path</t>
  </si>
  <si>
    <t xml:space="preserve">Pass — no action needed.</t>
  </si>
  <si>
    <t xml:space="preserve">TC-03</t>
  </si>
  <si>
    <t xml:space="preserve">AC3 (table_name blank -&gt; per-file table)</t>
  </si>
  <si>
    <t xml:space="preserve">Confirm that when table_name is not a literal (filename_based), each file/sheet creates its own table</t>
  </si>
  <si>
    <t xml:space="preserve">Configure qps_index with table_name: filename_based; run pipeline against inflation.csv, market.csv, syndicate.csv, naics_levels_2022.csv, risk_code_description.xlsx, mea_test.xlsx (3 sheets), QBE1-PROFBMD.xlsx</t>
  </si>
  <si>
    <t xml:space="preserve">One table per source file/sheet, named after the file: inflation, market, syndicate, naics_levels_2022, risk_code_description, mea_test_sheet1, mea_test_my_consolidated_1, mea_test_another_consolidated_2, qbe1_profbmd</t>
  </si>
  <si>
    <t xml:space="preserve">Screenshot 11 (reconciliation log), Screenshots 14-15 (test_schema, 10 tables)</t>
  </si>
  <si>
    <t xml:space="preserve">Pass. Note: config uses the keyword filename_based rather than a literally blank value — worth one extra run with table_name left truly blank/omitted to confirm both forms are accepted.</t>
  </si>
  <si>
    <t xml:space="preserve">TC-04</t>
  </si>
  <si>
    <t xml:space="preserve">AC4 (invalid config skipped + logged)</t>
  </si>
  <si>
    <t xml:space="preserve">Confirm a malformed job section is skipped without stopping other sections, and an error is logged</t>
  </si>
  <si>
    <t xml:space="preserve">Add a section missing a required field (e.g. no volume_path); run pipeline</t>
  </si>
  <si>
    <t xml:space="preserve">The broken section is skipped, an error is written to the log/status table, and other valid sections still run to completion</t>
  </si>
  <si>
    <t xml:space="preserve">None provided</t>
  </si>
  <si>
    <t xml:space="preserve">Not Evidenced</t>
  </si>
  <si>
    <t xml:space="preserve">Negative path</t>
  </si>
  <si>
    <t xml:space="preserve">No negative-config evidence in the pack. Ask for a run against a deliberately broken section before signing this AC off.</t>
  </si>
  <si>
    <t xml:space="preserve">TC-05</t>
  </si>
  <si>
    <t xml:space="preserve">US-01 / US-02</t>
  </si>
  <si>
    <t xml:space="preserve">AC5 / AC2 (trigger_hours gates section execution)</t>
  </si>
  <si>
    <t xml:space="preserve">Confirm a section only runs when the current hour is in its trigger_hours list</t>
  </si>
  <si>
    <t xml:space="preserve">Run the pipeline at an hour outside a section's trigger_hours, then again at an hour inside it</t>
  </si>
  <si>
    <t xml:space="preserve">Section is skipped on the out-of-window run and executes on the in-window run</t>
  </si>
  <si>
    <t xml:space="preserve">Screenshot 3 shows the field populated; no before/after run comparison</t>
  </si>
  <si>
    <t xml:space="preserve">Field exists in config but the gating behaviour itself isn't demonstrated. Request two runs at different hours as evidence.</t>
  </si>
  <si>
    <t xml:space="preserve">TC-06</t>
  </si>
  <si>
    <t xml:space="preserve">US-02 ADF Hourly Trigger &amp; Section Filtering</t>
  </si>
  <si>
    <t xml:space="preserve">AC1 (fires every hour)</t>
  </si>
  <si>
    <t xml:space="preserve">Confirm the actual ADF trigger recurrence matches the agreed spec</t>
  </si>
  <si>
    <t xml:space="preserve">Open the ADF trigger definition for Generic_SP_Pipeline</t>
  </si>
  <si>
    <t xml:space="preserve">Trigger fires on the hour, per US-02 AC1</t>
  </si>
  <si>
    <t xml:space="preserve">None provided (no trigger-definition screenshot)</t>
  </si>
  <si>
    <t xml:space="preserve">The Pattern 3 design doc explicitly states the trigger fires every 5 minutes, not hourly. Confirm with the BA/dev which cadence is actually deployed before treating either version of this AC as authoritative.</t>
  </si>
  <si>
    <t xml:space="preserve">TC-07</t>
  </si>
  <si>
    <t xml:space="preserve">AC3 (non-matching sections skipped, no error)</t>
  </si>
  <si>
    <t xml:space="preserve">Confirm sections outside the current trigger hour are skipped silently, without raising an error</t>
  </si>
  <si>
    <t xml:space="preserve">Run pipeline at an hour where at least one configured section is NOT eligible</t>
  </si>
  <si>
    <t xml:space="preserve">Ineligible section(s) produce no connection attempt and no error/failure entry</t>
  </si>
  <si>
    <t xml:space="preserve">Needs a run captured where a section is intentionally out of window.</t>
  </si>
  <si>
    <t xml:space="preserve">TC-08</t>
  </si>
  <si>
    <t xml:space="preserve">AC4 (manual/ad-hoc trigger bypasses trigger_hours)</t>
  </si>
  <si>
    <t xml:space="preserve">Confirm a manual pipeline run processes all sections regardless of trigger_hours</t>
  </si>
  <si>
    <t xml:space="preserve">Manually trigger the pipeline at an hour outside one or more sections' trigger_hours</t>
  </si>
  <si>
    <t xml:space="preserve">All sections run anyway, ignoring trigger_hours</t>
  </si>
  <si>
    <t xml:space="preserve">Screenshots 9-10 show a pipeline run succeeding, but not proven to be outside any section's trigger_hours</t>
  </si>
  <si>
    <t xml:space="preserve">Capture the run hour alongside each section's trigger_hours to prove the bypass explicitly.</t>
  </si>
  <si>
    <t xml:space="preserve">TC-09</t>
  </si>
  <si>
    <t xml:space="preserve">US-03 Ingestion Status Table</t>
  </si>
  <si>
    <t xml:space="preserve">AC1 (status table naming convention)</t>
  </si>
  <si>
    <t xml:space="preserve">Confirm the ingestion status table name matches the agreed convention</t>
  </si>
  <si>
    <t xml:space="preserve">Compare the table referenced in config against the naming rule in US-03</t>
  </si>
  <si>
    <t xml:space="preserve">Table is qbq_brg_prd_supply.sp_ingestion.sp_ingestion, or an agreed domain equivalent</t>
  </si>
  <si>
    <t xml:space="preserve">Screenshots 2-3 show qbq_brg_dev_supply.generic_sp.ingestion_status_table_v2</t>
  </si>
  <si>
    <t xml:space="preserve">Naming differs from the written AC, and the schema also contains several look-alike tables (ingestion_status_table, sp_ingestion_status, sp_ingestion_status_v1/v2, ingestion_status_table_v1/v2). Confirm which one is the real, current table before trusting any status-table evidence, and flag the duplicates for cleanup.</t>
  </si>
  <si>
    <t xml:space="preserve">TC-10</t>
  </si>
  <si>
    <t xml:space="preserve">AC2 (all 8 required columns present)</t>
  </si>
  <si>
    <t xml:space="preserve">Confirm every required column is present and populated on the status table</t>
  </si>
  <si>
    <t xml:space="preserve">Open qbq_brg_dev_supply.generic_sp.ingestion_status_table_v2 sample data and scroll through all columns</t>
  </si>
  <si>
    <t xml:space="preserve">Each row records project, file_name, sp_folder, status, ingestion_timestamp, pipeline_runid, file_size, error_message</t>
  </si>
  <si>
    <t xml:space="preserve">Screenshot 12 shows landing_status, landing_error_message, landed_at, ingestion_status — a partial, cropped view</t>
  </si>
  <si>
    <t xml:space="preserve">Partial</t>
  </si>
  <si>
    <t xml:space="preserve">Column names visible don't line up 1:1 with the AC's list (e.g. 'status' vs 'landing_status'/'ingestion_status', and project/file_name/sp_folder/pipeline_runid/file_size aren't visible in the crop). Get a full-width capture of the table before accepting this AC.</t>
  </si>
  <si>
    <t xml:space="preserve">TC-11</t>
  </si>
  <si>
    <t xml:space="preserve">AC3 (a failed file doesn't block the run)</t>
  </si>
  <si>
    <t xml:space="preserve">Confirm one failing file doesn't stop the remaining files in the same run from ingesting</t>
  </si>
  <si>
    <t xml:space="preserve">Include one deliberately invalid file in a batch (e.g. corrupt xlsx); run the pipeline</t>
  </si>
  <si>
    <t xml:space="preserve">The bad file is logged as failed; every other file in the run still ingests successfully</t>
  </si>
  <si>
    <t xml:space="preserve">None provided (all files in the pack succeeded)</t>
  </si>
  <si>
    <t xml:space="preserve">No failure case in the current evidence. This is a core resilience AC — request a run with one deliberately bad file.</t>
  </si>
  <si>
    <t xml:space="preserve">TC-12</t>
  </si>
  <si>
    <t xml:space="preserve">US-03 / US-04</t>
  </si>
  <si>
    <t xml:space="preserve">AC4 / AC1-3 (incremental detection skips unchanged files)</t>
  </si>
  <si>
    <t xml:space="preserve">Confirm a second run of the same section, with no source changes, ingests nothing new</t>
  </si>
  <si>
    <t xml:space="preserve">Re-run the pipeline for qps_index/hmrc_test immediately after the captured run, without touching the SharePoint files</t>
  </si>
  <si>
    <t xml:space="preserve">No new timestamp folder is created, no new status rows are written, and the run completes as a no-op</t>
  </si>
  <si>
    <t xml:space="preserve">None provided — only a single run is captured</t>
  </si>
  <si>
    <t xml:space="preserve">Zero evidence for what is arguably the single most important behaviour of the pipeline (incremental/watermark logic). Strongly recommend this be captured and reviewed before sign-off — treat as the top-priority gap.</t>
  </si>
  <si>
    <t xml:space="preserve">TC-13</t>
  </si>
  <si>
    <t xml:space="preserve">US-04 SharePoint File Detection (Incremental)</t>
  </si>
  <si>
    <t xml:space="preserve">AC1-2 (only newer files downloaded)</t>
  </si>
  <si>
    <t xml:space="preserve">Confirm only files modified after the last successful ingestion are downloaded</t>
  </si>
  <si>
    <t xml:space="preserve">Modify one file's content in SharePoint, leave the rest untouched, then run the pipeline</t>
  </si>
  <si>
    <t xml:space="preserve">Only the modified file is re-downloaded and re-ingested; untouched files are skipped</t>
  </si>
  <si>
    <t xml:space="preserve">Depends on TC-12's watermark behaviour being provable first.</t>
  </si>
  <si>
    <t xml:space="preserve">TC-14</t>
  </si>
  <si>
    <t xml:space="preserve">AC3 (matching-timestamp files at volume are skipped)</t>
  </si>
  <si>
    <t xml:space="preserve">Confirm a file already landed with a matching timestamp is not re-landed</t>
  </si>
  <si>
    <t xml:space="preserve">Re-run pipeline without SharePoint changes; inspect the volume for duplicate landings</t>
  </si>
  <si>
    <t xml:space="preserve">No duplicate file copy is created for unchanged files</t>
  </si>
  <si>
    <t xml:space="preserve">Same gap as TC-12/13.</t>
  </si>
  <si>
    <t xml:space="preserve">TC-15</t>
  </si>
  <si>
    <t xml:space="preserve">US-05 File Download to UC Volume</t>
  </si>
  <si>
    <t xml:space="preserve">AC1 (files land at configured volume_path)</t>
  </si>
  <si>
    <t xml:space="preserve">Confirm files are downloaded to the exact volume_path declared in config</t>
  </si>
  <si>
    <t xml:space="preserve">Compare volume_path in sp_control_config.yml against the actual landing path</t>
  </si>
  <si>
    <t xml:space="preserve">Files land under /Volumes/qbq_brg_dev_supply/generic_sp/generic_sp_vol/&lt;job&gt;/</t>
  </si>
  <si>
    <t xml:space="preserve">Screenshots 13-14 (generic_sp_vol/qps_index/files/20260907T100745Z/...)</t>
  </si>
  <si>
    <t xml:space="preserve">Pass — path matches config exactly.</t>
  </si>
  <si>
    <t xml:space="preserve">TC-16</t>
  </si>
  <si>
    <t xml:space="preserve">AC2 (filename + folder structure preserved)</t>
  </si>
  <si>
    <t xml:space="preserve">Confirm original file names and SharePoint subfolder structure are preserved on landing</t>
  </si>
  <si>
    <t xml:space="preserve">Compare the SharePoint source listing (QBE subfolder present) against the landed snapshot folder</t>
  </si>
  <si>
    <t xml:space="preserve">Landed snapshot contains the same QBE subfolder, with files keeping their original names</t>
  </si>
  <si>
    <t xml:space="preserve">Screenshot 5/7 (source) vs Screenshot 14 (landed QBE folder present)</t>
  </si>
  <si>
    <t xml:space="preserve">Pass at the folder level. Expand the landed QBE/ subfolder specifically to confirm QBE1-PROFBMD.xlsx itself kept its exact filename (not shown in the current crop).</t>
  </si>
  <si>
    <t xml:space="preserve">TC-17</t>
  </si>
  <si>
    <t xml:space="preserve">AC3 (lastModifiedDateTime stored as metadata alongside file)</t>
  </si>
  <si>
    <t xml:space="preserve">Confirm SharePoint's lastModifiedDateTime is captured as metadata next to each landed file</t>
  </si>
  <si>
    <t xml:space="preserve">Inspect the landed snapshot folder / file properties for a lastModifiedDateTime value</t>
  </si>
  <si>
    <t xml:space="preserve">A metadata record alongside the file carries SharePoint's lastModifiedDateTime</t>
  </si>
  <si>
    <t xml:space="preserve">None provided — only governance _metadata.yml is shown, which doesn't carry this field</t>
  </si>
  <si>
    <t xml:space="preserve">The only metadata captured on-screen is governance metadata (owner, purpose, sensitivity), not the file-system timestamp this AC asks for. Ask for a volume file-properties screenshot or the _last_modified_time tag specifically.</t>
  </si>
  <si>
    <t xml:space="preserve">TC-18</t>
  </si>
  <si>
    <t xml:space="preserve">AC4 (only *.csv / *.xlsx supported)</t>
  </si>
  <si>
    <t xml:space="preserve">Confirm only csv and xlsx files are picked up per Milestone 1 scope</t>
  </si>
  <si>
    <t xml:space="preserve">Compare file_pattern in config against the file types actually landed</t>
  </si>
  <si>
    <t xml:space="preserve">Only .csv and .xlsx files appear in the landing volume</t>
  </si>
  <si>
    <t xml:space="preserve">Screenshot 3 (file_pattern: *.csv, *.xlsx), Screenshot 14 (landed files)</t>
  </si>
  <si>
    <t xml:space="preserve">Pass for the positive path (no other file type was present to test against).</t>
  </si>
  <si>
    <t xml:space="preserve">TC-19</t>
  </si>
  <si>
    <t xml:space="preserve">AC5 (other file types skipped + warning logged)</t>
  </si>
  <si>
    <t xml:space="preserve">Confirm a non-matching file type in the source folder is skipped with a logged warning</t>
  </si>
  <si>
    <t xml:space="preserve">Add a .pdf or .docx into the SharePoint source folder; run the pipeline</t>
  </si>
  <si>
    <t xml:space="preserve">The file is ignored for ingestion and a warning is written to the log</t>
  </si>
  <si>
    <t xml:space="preserve">None provided — no non-matching file type was present in the source folder tested</t>
  </si>
  <si>
    <t xml:space="preserve">Add an unsupported file type to the test folder and capture the resulting log line.</t>
  </si>
  <si>
    <t xml:space="preserve">TC-20</t>
  </si>
  <si>
    <t xml:space="preserve">US-06 XLSX to CSV Conversion &amp; Sheet Ingestion</t>
  </si>
  <si>
    <t xml:space="preserve">AC1a (Ingest_Sheets blank = all sheets)</t>
  </si>
  <si>
    <t xml:space="preserve">Confirm that when Ingest_Sheets is not set, every sheet in the workbook is ingested</t>
  </si>
  <si>
    <t xml:space="preserve">Run pipeline against mea_test.xlsx, which has no same-name .yml override</t>
  </si>
  <si>
    <t xml:space="preserve">All 3 sheets (Sheet1, my-cOnsolidated-1, another-Consolidated-2) are ingested into 3 separate tables</t>
  </si>
  <si>
    <t xml:space="preserve">Screenshot 11 (reconciliation log), Screenshot 14 (3 mea_test.xlsx.*.csv files)</t>
  </si>
  <si>
    <t xml:space="preserve">Pass.</t>
  </si>
  <si>
    <t xml:space="preserve">TC-21</t>
  </si>
  <si>
    <t xml:space="preserve">AC1b (Ingest_Sheets set = only that sheet)</t>
  </si>
  <si>
    <t xml:space="preserve">Confirm that when Ingest_Sheets names a specific sheet, only that sheet is ingested</t>
  </si>
  <si>
    <t xml:space="preserve">Run pipeline against QBE1-PROFBMD.xlsx, whose same-name .yml sets ingest_sheets: SOV-Consolidated</t>
  </si>
  <si>
    <t xml:space="preserve">Only the SOV-Consolidated sheet is extracted and loaded; other sheets in the workbook (if any) are ignored</t>
  </si>
  <si>
    <t xml:space="preserve">Screenshot 8 (QBE1-PROFBMD.yml), Screenshot 11 (log shows only [SOV-Consolidated])</t>
  </si>
  <si>
    <t xml:space="preserve">TC-22</t>
  </si>
  <si>
    <t xml:space="preserve">AC2 (each sheet -&gt; separate CSV)</t>
  </si>
  <si>
    <t xml:space="preserve">Confirm every ingested sheet is materialised as its own CSV file in the landing area</t>
  </si>
  <si>
    <t xml:space="preserve">Inspect the landed snapshot folder for per-sheet CSVs</t>
  </si>
  <si>
    <t xml:space="preserve">mea_test.xlsx.sheet1.csv, mea_test.xlsx.my_consolidated_1.csv, mea_test.xlsx.another_consolidated_2.csv, risk_code_description.xlsx.sheet1.csv all present</t>
  </si>
  <si>
    <t xml:space="preserve">Screenshot 14</t>
  </si>
  <si>
    <t xml:space="preserve">TC-23</t>
  </si>
  <si>
    <t xml:space="preserve">AC3 (CSV appended, or table created if absent)</t>
  </si>
  <si>
    <t xml:space="preserve">Confirm a CSV is appended into an existing target table, or a new table is created if none exists</t>
  </si>
  <si>
    <t xml:space="preserve">Run the pipeline twice: first run creates the table, second run (with an extra row) appends</t>
  </si>
  <si>
    <t xml:space="preserve">First run creates the Delta table; second run appends without duplicating or recreating it</t>
  </si>
  <si>
    <t xml:space="preserve">Screenshots 14-15 show first-run table creation only</t>
  </si>
  <si>
    <t xml:space="preserve">Table-creation path is proven; append-on-existing-table is not, since only one run is captured. Request a second run to confirm append behaviour.</t>
  </si>
  <si>
    <t xml:space="preserve">TC-24</t>
  </si>
  <si>
    <t xml:space="preserve">AC4 (schema inferred first load; mergeSchema after)</t>
  </si>
  <si>
    <t xml:space="preserve">Confirm schema is inferred on first load and evolves safely (mergeSchema) on later loads with new columns</t>
  </si>
  <si>
    <t xml:space="preserve">Run once to create a table, then run again with a source file containing an extra column</t>
  </si>
  <si>
    <t xml:space="preserve">First load infers schema; second load adds the new column without breaking existing data</t>
  </si>
  <si>
    <t xml:space="preserve">None provided — single run only</t>
  </si>
  <si>
    <t xml:space="preserve">Needs a second run with an intentionally changed schema.</t>
  </si>
  <si>
    <t xml:space="preserve">TC-25</t>
  </si>
  <si>
    <t xml:space="preserve">AC5 (_source_sheet_name recorded)</t>
  </si>
  <si>
    <t xml:space="preserve">Confirm the source sheet name is recorded against the resulting table</t>
  </si>
  <si>
    <t xml:space="preserve">Open the table properties/tags for an xlsx-derived table, e.g. qbe1_profbmd or mea_test_sheet1</t>
  </si>
  <si>
    <t xml:space="preserve">A _source_sheet_name tag/column records the originating sheet name</t>
  </si>
  <si>
    <t xml:space="preserve">Screenshot 16 only shows tags for hmrc_exrates_monthly, which is CSV-sourced (no sheet name applicable)</t>
  </si>
  <si>
    <t xml:space="preserve">Capture the tag list for an xlsx-derived table specifically (qbe1_profbmd or one of the mea_test_* tables) to confirm this tag exists and is correctly populated.</t>
  </si>
  <si>
    <t xml:space="preserve">TC-26</t>
  </si>
  <si>
    <t xml:space="preserve">US-07 Metadata Governance &amp; Tagging</t>
  </si>
  <si>
    <t xml:space="preserve">AC1 (user-supplied tags present)</t>
  </si>
  <si>
    <t xml:space="preserve">Confirm Data_Owner, Business_Purpose, Data_Domain, Submission_Date, Sensitivity and Ingest_Sheets are all recorded as table tags</t>
  </si>
  <si>
    <t xml:space="preserve">Open Delta table properties for hmrc_exrates_monthly and expand the full tag list</t>
  </si>
  <si>
    <t xml:space="preserve">All six user-supplied tags from US-07 AC1 are present and correctly valued</t>
  </si>
  <si>
    <t xml:space="preserve">Screenshot 16 shows Data_Owner, Business_Purpose, Data_Domain, Sensitivity — 'Submission_Date' and 'Ingest_Sheets' are not visible ('+13 more' hidden)</t>
  </si>
  <si>
    <t xml:space="preserve">Governance</t>
  </si>
  <si>
    <t xml:space="preserve">The metadata schema actually in use (Screenshots 6/8) has no field called Submission_Date at all (it has Source_Received instead) — likely the AC's tag name is stale. Expand the full tag list and reconcile naming with the BA before treating this as pass/fail.</t>
  </si>
  <si>
    <t xml:space="preserve">TC-27</t>
  </si>
  <si>
    <t xml:space="preserve">AC2 (all 10 ADF system tags present)</t>
  </si>
  <si>
    <t xml:space="preserve">Confirm all 10 automatically-generated system tags are present and correctly valued</t>
  </si>
  <si>
    <t xml:space="preserve">Expand the complete tag list on a landed table and check each _-prefixed system tag</t>
  </si>
  <si>
    <t xml:space="preserve">_sharepoint_site, _sharepoint_folder, _source_sheet_name, _ingested_volume_path, _ingestion_timestamp, _pipeline_runid, _file_size, _last_modified_time, _file_owner, _source_system all present</t>
  </si>
  <si>
    <t xml:space="preserve">Screenshot 16 only shows 2 of 10 (_sharepoint_site, _source_system) in the visible crop; '+13 more' tags are hidden</t>
  </si>
  <si>
    <t xml:space="preserve">Get a full, unclipped tag list for at least one table to confirm the remaining 8 system tags exist and hold sensible values.</t>
  </si>
  <si>
    <t xml:space="preserve">TC-28</t>
  </si>
  <si>
    <t xml:space="preserve">AC3 (metadata priority order)</t>
  </si>
  <si>
    <t xml:space="preserve">Confirm file-specific metadata correctly overrides folder-level defaults</t>
  </si>
  <si>
    <t xml:space="preserve">Compare _metadata.yml (folder default) against QBE1-PROFBMD.yml (same-name override) and the resulting ingestion behaviour</t>
  </si>
  <si>
    <t xml:space="preserve">Per US-07: Excel Metadata sheet &gt; same-name .txt file &gt; folder-level metadata_file, highest wins</t>
  </si>
  <si>
    <t xml:space="preserve">Screenshots 6 and 8 show a same-name .yml overriding the folder's _metadata.yml (adding ingest_sheets); Screenshot 11 confirms the override was honoured</t>
  </si>
  <si>
    <t xml:space="preserve">The override behaviour itself is proven, but the actual mechanism (same-name .yml over folder-level _metadata.yml) doesn't match the AC's literal wording (Excel Metadata sheet / same-name .txt file) — there is no Excel-sheet or .txt mechanism anywhere in the evidence. Get the user story text corrected to match the Pattern 3 design before scoring this AC.</t>
  </si>
  <si>
    <t xml:space="preserve">TC-29</t>
  </si>
  <si>
    <t xml:space="preserve">AC4 (ingestion blocked when no metadata resolvable)</t>
  </si>
  <si>
    <t xml:space="preserve">Confirm a file with no resolvable metadata (no same-name yml, no folder default) is blocked and logged</t>
  </si>
  <si>
    <t xml:space="preserve">Place a file in a folder with neither a same-name .yml nor a _metadata.yml; run the pipeline</t>
  </si>
  <si>
    <t xml:space="preserve">Ingestion is blocked for that file; an error is written to the status table</t>
  </si>
  <si>
    <t xml:space="preserve">None provided — every file in the test pack had resolvable metadata</t>
  </si>
  <si>
    <t xml:space="preserve">Core governance gate is untested. Request a run with a metadata-less file.</t>
  </si>
  <si>
    <t xml:space="preserve">TC-30</t>
  </si>
  <si>
    <t xml:space="preserve">Pattern 3 design (landing mechanics)</t>
  </si>
  <si>
    <t xml:space="preserve">Timestamped snapshot folder format</t>
  </si>
  <si>
    <t xml:space="preserve">Confirm the landing snapshot folder uses the documented ISO-8601 basic UTC format</t>
  </si>
  <si>
    <t xml:space="preserve">Inspect the landed folder name under volume_path</t>
  </si>
  <si>
    <t xml:space="preserve">Folder is named YYYYMMDDTHHMMSSZ, e.g. 20260907T143005Z</t>
  </si>
  <si>
    <t xml:space="preserve">Screenshot 14 shows folder 20260907T100745Z</t>
  </si>
  <si>
    <t xml:space="preserve">TC-31</t>
  </si>
  <si>
    <t xml:space="preserve">Empty run creates no folder</t>
  </si>
  <si>
    <t xml:space="preserve">Confirm a run that finds no new/changed files does not create an empty timestamp folder</t>
  </si>
  <si>
    <t xml:space="preserve">Run the pipeline a second time with no source changes; check the volume for a new empty folder</t>
  </si>
  <si>
    <t xml:space="preserve">No new timestamp folder appears when there is nothing to land</t>
  </si>
  <si>
    <t xml:space="preserve">None provided — only a single, non-empty run is captured</t>
  </si>
  <si>
    <t xml:space="preserve">Depends on the same second-run evidence needed for TC-12.</t>
  </si>
  <si>
    <t xml:space="preserve">TC-32</t>
  </si>
  <si>
    <t xml:space="preserve">Subfolder structure preserved relative to sp_folder_path</t>
  </si>
  <si>
    <t xml:space="preserve">Confirm a subfolder in the SharePoint source (e.g. QBE) is recreated at the same relative path under the timestamp folder</t>
  </si>
  <si>
    <t xml:space="preserve">Compare SharePoint QPS_Index/QBE against the landed .../20260907T100745Z/QBE</t>
  </si>
  <si>
    <t xml:space="preserve">QBE subfolder appears at the same relative location beneath the timestamp folder</t>
  </si>
  <si>
    <t xml:space="preserve">Screenshot 5/7 (source) vs Screenshot 14 (landed)</t>
  </si>
  <si>
    <t xml:space="preserve">TC-33</t>
  </si>
  <si>
    <t xml:space="preserve">Resolved metadata copied alongside each file in the snapshot</t>
  </si>
  <si>
    <t xml:space="preserve">Confirm each file's resolved metadata source is copied next to it inside the timestamp folder, not just at the folder root</t>
  </si>
  <si>
    <t xml:space="preserve">Expand the landed QBE/ subfolder and check for QBE1-PROFBMD.yml sitting next to QBE1-PROFBMD.xlsx</t>
  </si>
  <si>
    <t xml:space="preserve">The resolved metadata (same-name .yml or folder default) is present at the same relative location as its file</t>
  </si>
  <si>
    <t xml:space="preserve">Screenshot 14 shows the QBE folder collapsed — its contents are not visible</t>
  </si>
  <si>
    <t xml:space="preserve">Expand the QBE/ subfolder specifically in a future capture to confirm the per-file metadata copy.</t>
  </si>
  <si>
    <t xml:space="preserve">TC-34</t>
  </si>
  <si>
    <t xml:space="preserve">Pattern 3 design (format processing)</t>
  </si>
  <si>
    <t xml:space="preserve">CSV structural validation</t>
  </si>
  <si>
    <t xml:space="preserve">Confirm a CSV is checked for non-empty content and parseable headers before ingestion</t>
  </si>
  <si>
    <t xml:space="preserve">Submit a CSV with no header row or that is empty; run the pipeline</t>
  </si>
  <si>
    <t xml:space="preserve">The file is rejected/skipped with a clear validation error, rather than silently loaded or crashing</t>
  </si>
  <si>
    <t xml:space="preserve">None provided — all CSVs in the pack were well-formed</t>
  </si>
  <si>
    <t xml:space="preserve">Add a malformed CSV to the test set for this specific check.</t>
  </si>
  <si>
    <t xml:space="preserve">TC-35</t>
  </si>
  <si>
    <t xml:space="preserve">CSV companion-metadata rule (.txt) vs actual behaviour</t>
  </si>
  <si>
    <t xml:space="preserve">Confirm CSVs are only ingested when a companion .txt metadata file is present, as the design doc states</t>
  </si>
  <si>
    <t xml:space="preserve">Check whether any .txt companion files exist for the CSVs that were successfully ingested (inflation.csv, market.csv, syndicate.csv, exrates-monthly-*.csv)</t>
  </si>
  <si>
    <t xml:space="preserve">Per the design doc, a CSV without a companion .txt file should be skipped and logged</t>
  </si>
  <si>
    <t xml:space="preserve">Screenshot 5 shows no .txt files in the source folder at all, yet every CSV ingested successfully via the folder-level _metadata.yml</t>
  </si>
  <si>
    <t xml:space="preserve">Direct contradiction between the written design ('a companion metadata .txt file must be present' for CSVs) and the observed behaviour (CSVs ingested fine via .yml, no .txt in sight). Escalate to the BA/dev to confirm whether the .txt line in the design doc is simply stale documentation, rather than logging it as a functional defect.</t>
  </si>
  <si>
    <t xml:space="preserve">TC-36</t>
  </si>
  <si>
    <t xml:space="preserve">Pattern 3 design (status table)</t>
  </si>
  <si>
    <t xml:space="preserve">project column distinguishes shared status table rows</t>
  </si>
  <si>
    <t xml:space="preserve">Confirm each status row correctly identifies which job/project it belongs to</t>
  </si>
  <si>
    <t xml:space="preserve">Open the full-width ingestion_status_table_v2 sample and check the project column values for qps_index vs hmrc_test rows</t>
  </si>
  <si>
    <t xml:space="preserve">Every row's project column matches the job that produced it</t>
  </si>
  <si>
    <t xml:space="preserve">Screenshot 12's crop does not show a project column</t>
  </si>
  <si>
    <t xml:space="preserve">Needs a wider capture of the status table to confirm this column exists and is populated correctly.</t>
  </si>
  <si>
    <t xml:space="preserve">TC-37</t>
  </si>
  <si>
    <t xml:space="preserve">pipeline_runid traceability</t>
  </si>
  <si>
    <t xml:space="preserve">Confirm the pipeline_runid recorded in status rows matches the actual ADF run ID</t>
  </si>
  <si>
    <t xml:space="preserve">Cross-reference a status row's pipeline_runid against the ADF run ID shown for the 9/7/2026 11:06:05 AM run (f714cf70-4151-443d-8b87-dc3c0388f6e3)</t>
  </si>
  <si>
    <t xml:space="preserve">pipeline_runid values in the status table match the ADF run ID exactly</t>
  </si>
  <si>
    <t xml:space="preserve">Screenshot 10 (run ID) vs Screenshot 12 (crop doesn't show a pipeline_runid column)</t>
  </si>
  <si>
    <t xml:space="preserve">Needs a wider capture of the status table showing the pipeline_runid column alongside the known run ID.</t>
  </si>
  <si>
    <t xml:space="preserve">TC-38</t>
  </si>
  <si>
    <t xml:space="preserve">Deeper pass — environment integrity</t>
  </si>
  <si>
    <t xml:space="preserve">Unexplained ingestion_status_table_v1</t>
  </si>
  <si>
    <t xml:space="preserve">Confirm every table present in the generic_sp schema after the run is accounted for by the tested config</t>
  </si>
  <si>
    <t xml:space="preserve">Compare the schema's table list before the run (screenshot 1, 5 tables) against after the run (screenshots 12-13, 7 tables)</t>
  </si>
  <si>
    <t xml:space="preserve">Only tables referenced by sp_control_config.yml (ingestion_status_table_v2 plus the job tables) should appear</t>
  </si>
  <si>
    <t xml:space="preserve">Screenshot 1 (before, 5 tables) vs Screenshots 12-13 (after, 7 tables) — the extra table is ingestion_status_table_v1, never referenced in screenshot 3's config</t>
  </si>
  <si>
    <t xml:space="preserve">Anomaly</t>
  </si>
  <si>
    <t xml:space="preserve">Environment risk</t>
  </si>
  <si>
    <t xml:space="preserve">Ask the dev team directly where ingestion_status_table_v1 came from — a second parallel test, a versioning quirk in the pipeline code, or genuine unexplained schema drift are all possibilities worth ruling out before sign-off.</t>
  </si>
  <si>
    <t xml:space="preserve">TC-39</t>
  </si>
  <si>
    <t xml:space="preserve">Deeper pass — governance design risk</t>
  </si>
  <si>
    <t xml:space="preserve">Governance tags can be silently overwritten on shared tables</t>
  </si>
  <si>
    <t xml:space="preserve">Confirm table-level governance tags behave safely when two files with different metadata load into the same shared table_name</t>
  </si>
  <si>
    <t xml:space="preserve">Load two files with deliberately different Data_Owner/Sensitivity values into the same literal table_name (e.g. hmrc_exrates_monthly) and inspect the resulting tags</t>
  </si>
  <si>
    <t xml:space="preserve">Either the tags reflect a defined precedence rule, or the risk of silent overwrite with no per-row governance record is explicitly accepted</t>
  </si>
  <si>
    <t xml:space="preserve">None provided — all 5 hmrc files in the tested run evidently share identical metadata, so the overwrite scenario was never exercised</t>
  </si>
  <si>
    <t xml:space="preserve">Not tested here. Tags are table-wide Delta properties per the design, not per-row — request a dedicated run with two files carrying different Data_Owner/Sensitivity into the same shared table.</t>
  </si>
  <si>
    <t xml:space="preserve">TC-40</t>
  </si>
  <si>
    <t xml:space="preserve">AC3 (blank vs. filename_based keyword for per-file tables)</t>
  </si>
  <si>
    <t xml:space="preserve">Confirm which value actually triggers per-file table creation: a truly blank table_name, or the literal keyword filename_based</t>
  </si>
  <si>
    <t xml:space="preserve">Run the pipeline once with ingestion.table_name genuinely blank/omitted, and once with it set to the keyword filename_based</t>
  </si>
  <si>
    <t xml:space="preserve">Per US-01 AC3, a blank table_name should create one table per file; per the Pattern 3 field reference, blank/null is invalid and filename_based is required</t>
  </si>
  <si>
    <t xml:space="preserve">Screenshot 3 shows table_name: filename_based only — a truly blank value was never tested</t>
  </si>
  <si>
    <t xml:space="preserve">Two contradictory validation rules for the same intended outcome. Confirm which one the pipeline actually enforces — a genuinely blank value might be treated as an invalid config (skipped + logged, per US-01 AC4) rather than triggering per-file behaviour.</t>
  </si>
  <si>
    <t xml:space="preserve">TC-41</t>
  </si>
  <si>
    <t xml:space="preserve">Undocumented databridge_* tags at the volume level</t>
  </si>
  <si>
    <t xml:space="preserve">Confirm whether the databridge_data_classification / databridge_data_sensitivity / databridge_dataset_owner tags on generic_sp_vol are in scope for this pipeline</t>
  </si>
  <si>
    <t xml:space="preserve">Inspect generic_sp_vol's own tags and compare their names against the US-07 user-supplied tag list and the ADF system tag list</t>
  </si>
  <si>
    <t xml:space="preserve">Either these tags are explicitly out of scope (a separate platform-level policy), or the pipeline is expected to reconcile them with its own table-level tags</t>
  </si>
  <si>
    <t xml:space="preserve">Screenshot 1 shows databridge_data_classification, databridge_data_sensitivity, databridge_dataset_owner on the volume — none of these names appear anywhere in Text.txt</t>
  </si>
  <si>
    <t xml:space="preserve">Confirm with the platform/governance team whether this is a separate tagging vocabulary this pipeline can ignore, or something it's also meant to reconcile — nothing in the requirement says either way.</t>
  </si>
  <si>
    <t xml:space="preserve">TC-42</t>
  </si>
  <si>
    <t xml:space="preserve">Table naming drops the sheet suffix for a single named sheet</t>
  </si>
  <si>
    <t xml:space="preserve">Confirm the table naming rule when Ingest_Sheets names exactly one sheet, versus when it's left blank</t>
  </si>
  <si>
    <t xml:space="preserve">Compare table names produced for mea_test.xlsx (Ingest_Sheets blank, all 3 sheets) against QBE1-PROFBMD.xlsx (Ingest_Sheets: SOV-Consolidated, one sheet)</t>
  </si>
  <si>
    <t xml:space="preserve">A consistent, documented naming rule — either always &lt;file&gt;_&lt;sheet&gt;, or a defined exception for the single-sheet case</t>
  </si>
  <si>
    <t xml:space="preserve">Screenshots 11/14-15: mea_test.xlsx produces mea_test_sheet1 etc., but QBE1-PROFBMD.xlsx produces plain qbe1_profbmd with no _sov_consolidated suffix</t>
  </si>
  <si>
    <t xml:space="preserve">Not documented as intentional anywhere. If intentional, two same-named files with different single sheet names would silently collide into the same table — confirm the rule and test that collision case directly.</t>
  </si>
  <si>
    <t xml:space="preserve">TC-43</t>
  </si>
  <si>
    <t xml:space="preserve">Metadata override proven to add a field, not to change one</t>
  </si>
  <si>
    <t xml:space="preserve">Confirm a same-name metadata file can override the VALUE of a field the folder default already sets, not just add a new field</t>
  </si>
  <si>
    <t xml:space="preserve">Create a same-name .yml that sets a different Data_Owner or Sensitivity than the folder's _metadata.yml, and confirm the file-level value wins</t>
  </si>
  <si>
    <t xml:space="preserve">The file-level value for an already-set field takes priority over the folder default</t>
  </si>
  <si>
    <t xml:space="preserve">Screenshot 8's QBE1-PROFBMD.yml is identical to screenshot 6's folder _metadata.yml except for one added line (ingest_sheets) — no existing field is contradicted in the tested pair</t>
  </si>
  <si>
    <t xml:space="preserve">Re-run with a same-name file that deliberately contradicts the folder default on an existing field, and confirm the file-level value actually wins rather than being merged or ignored.</t>
  </si>
  <si>
    <t xml:space="preserve">TC-44</t>
  </si>
  <si>
    <t xml:space="preserve">hmrc_test's own metadata source was never captured</t>
  </si>
  <si>
    <t xml:space="preserve">Confirm the metadata file that produced hmrc_exrates_monthly's tags (Data_Owner, Data_Domain, etc.) resolves the same way QPS_Index's does</t>
  </si>
  <si>
    <t xml:space="preserve">Capture the HMRC_FX_RATES folder's metadata file (folder-level and/or same-name) the same way screenshots 6-8 captured QPS_Index's</t>
  </si>
  <si>
    <t xml:space="preserve">A visible .yml (or equivalent) accounts for every tag value seen on hmrc_exrates_monthly</t>
  </si>
  <si>
    <t xml:space="preserve">Screenshot 16 shows resolved values (Data_Owner: swanand.gore@uk.qbe.com, Data_Domain: Insurance Claims) but no screenshot of the source .yml for the hmrc_test job</t>
  </si>
  <si>
    <t xml:space="preserve">Capture the HMRC_FX_RATES metadata file so the resolution logic is verifiable for both jobs, not just qps_index.</t>
  </si>
  <si>
    <t xml:space="preserve">TC-45</t>
  </si>
  <si>
    <t xml:space="preserve">Test config can't prove per-project trigger frequencies</t>
  </si>
  <si>
    <t xml:space="preserve">Confirm two projects with genuinely different trigger_hours windows are gated independently</t>
  </si>
  <si>
    <t xml:space="preserve">Reconfigure qps_index and hmrc_test with different trigger_hours windows, then run at an hour eligible for only one of them</t>
  </si>
  <si>
    <t xml:space="preserve">Only the eligible project's section runs; the other is skipped</t>
  </si>
  <si>
    <t xml:space="preserve">Screenshot 3 shows qps_index and hmrc_test both using the identical trigger_hours: [8..18] — no run can currently distinguish per-project gating</t>
  </si>
  <si>
    <t xml:space="preserve">Reconfigure the two jobs with genuinely different trigger_hours before attempting to test hour-gating — as currently set up this AC is structurally untestable no matter how many runs are captured.</t>
  </si>
  <si>
    <t xml:space="preserve">TC-46</t>
  </si>
  <si>
    <t xml:space="preserve">Reconciliation log and status table disagree on file paths</t>
  </si>
  <si>
    <t xml:space="preserve">Confirm the human-readable log and the audit status table record file identity consistently</t>
  </si>
  <si>
    <t xml:space="preserve">Compare the same file's entry in the reconciliation log (screenshot 11) against its entry in ingestion_status_table_v2 (screenshot 12)</t>
  </si>
  <si>
    <t xml:space="preserve">Either both use the same path convention, or the log is explicitly documented as a debugging aid only, never a source of truth</t>
  </si>
  <si>
    <t xml:space="preserve">Screenshot 11 logs QBE1-PROFBMD.xlsx with no subfolder prefix; screenshot 12 records the same file with its full relative path (.../qps_index/files/20260907T100745Z/QBE/QBE1-PROFBMD.xlsx)</t>
  </si>
  <si>
    <t xml:space="preserve">Harmless while file names stay unique, but confirm the log is meant only as a debugging convenience — if two same-named files ever exist in different subfolders, the log becomes ambiguous even though the status table isn't.</t>
  </si>
  <si>
    <t xml:space="preserve">TC-47</t>
  </si>
  <si>
    <t xml:space="preserve">Deeper pass — data quality</t>
  </si>
  <si>
    <t xml:space="preserve">Schema-inference artifacts: string-typed dates and a mangled column name</t>
  </si>
  <si>
    <t xml:space="preserve">Confirm date columns are typed correctly and source column names survive ingestion cleanly</t>
  </si>
  <si>
    <t xml:space="preserve">Inspect the column types and names on hmrc_exrates_monthly's sample data</t>
  </si>
  <si>
    <t xml:space="preserve">Start_date/End_date are typed as dates (not strings), and column names match their source headers without stray characters</t>
  </si>
  <si>
    <t xml:space="preserve">Screenshot 17: Start_date/End_date are plain strings (01/06/2026), and one column is named Currency_Units_per__1 — a double underscore suggesting an auto-sanitized special character from the source header</t>
  </si>
  <si>
    <t xml:space="preserve">Data quality</t>
  </si>
  <si>
    <t xml:space="preserve">Neither breaks ingestion, but both trip up downstream analysts. Confirm with the business whether string dates and the mangled column name are acceptable as-is, or whether the schema-inference step needs a type/name-mapping override.</t>
  </si>
  <si>
    <t xml:space="preserve">Coverage Summary</t>
  </si>
  <si>
    <t xml:space="preserve">Totals recompute automatically from the Test Cases tab (47 test cases)</t>
  </si>
  <si>
    <t xml:space="preserve">Count</t>
  </si>
  <si>
    <t xml:space="preserve">Meaning</t>
  </si>
  <si>
    <t xml:space="preserve">The evidence pack directly proves this behaviour happened as specified.</t>
  </si>
  <si>
    <t xml:space="preserve">Some evidence exists, but it's incomplete, cropped, or only covers part of the AC.</t>
  </si>
  <si>
    <t xml:space="preserve">No screenshot or log demonstrates this AC — usually a negative/second-run case.</t>
  </si>
  <si>
    <t xml:space="preserve">The written requirement and the actual design/evidence contradict each other — raise as a clarification before writing a bug.</t>
  </si>
  <si>
    <t xml:space="preserve">Found by cross-checking screenshots against each other, not against a specific AC — an unexplained environment state or an undocumented design risk worth flagging on its own.</t>
  </si>
  <si>
    <t xml:space="preserve">Total</t>
  </si>
  <si>
    <t xml:space="preserve">How to use this tracker: work down the Test Cases tab, fill in 'Tester Actual Result' as you execute each case against the live environment, and log a Jira/ticket reference for anything that ends up failing. Rows marked 'Conflict' should go back to the BA/dev as a requirement clarification before you raise them as a defect.</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</si>
</sst>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4E4A"/>
      <name val="Arial"/>
      <family val="0"/>
      <charset val="1"/>
    </font>
    <font>
      <i val="true"/>
      <sz val="9"/>
      <color rgb="FF555555"/>
      <name val="Arial"/>
      <family val="0"/>
      <charset val="1"/>
    </font>
    <font>
      <b val="true"/>
      <sz val="10"/>
      <color rgb="FFFFFFFF"/>
      <name val="Arial"/>
      <family val="0"/>
      <charset val="1"/>
    </font>
    <font>
      <sz val="9"/>
      <name val="Arial"/>
      <family val="0"/>
      <charset val="1"/>
    </font>
    <font>
      <b val="true"/>
      <sz val="9"/>
      <color rgb="FF4B2E7A"/>
      <name val="Arial"/>
      <family val="0"/>
      <charset val="1"/>
    </font>
    <font>
      <b val="true"/>
      <sz val="9"/>
      <color rgb="FF1E5C1E"/>
      <name val="Arial"/>
      <family val="0"/>
      <charset val="1"/>
    </font>
    <font>
      <b val="true"/>
      <sz val="9"/>
      <color rgb="FF8A1F1F"/>
      <name val="Arial"/>
      <family val="0"/>
      <charset val="1"/>
    </font>
    <font>
      <b val="true"/>
      <sz val="9"/>
      <color rgb="FF7A5A00"/>
      <name val="Arial"/>
      <family val="0"/>
      <charset val="1"/>
    </font>
    <font>
      <b val="true"/>
      <sz val="9"/>
      <color rgb="FF8A4A12"/>
      <name val="Arial"/>
      <family val="0"/>
      <charset val="1"/>
    </font>
    <font>
      <b val="true"/>
      <sz val="10"/>
      <name val="Arial"/>
      <family val="0"/>
      <charset val="1"/>
    </font>
  </fonts>
  <fills count="8">
    <fill>
      <patternFill patternType="none"/>
    </fill>
    <fill>
      <patternFill patternType="gray125"/>
    </fill>
    <fill>
      <patternFill patternType="solid">
        <fgColor rgb="FF1F4E4A"/>
        <bgColor rgb="FF1E5C1E"/>
      </patternFill>
    </fill>
    <fill>
      <patternFill patternType="solid">
        <fgColor rgb="FFD9C6F0"/>
        <bgColor rgb="FFD9D9D9"/>
      </patternFill>
    </fill>
    <fill>
      <patternFill patternType="solid">
        <fgColor rgb="FFC6E6C6"/>
        <bgColor rgb="FFD9D9D9"/>
      </patternFill>
    </fill>
    <fill>
      <patternFill patternType="solid">
        <fgColor rgb="FFF5C2C2"/>
        <bgColor rgb="FFF6DCC0"/>
      </patternFill>
    </fill>
    <fill>
      <patternFill patternType="solid">
        <fgColor rgb="FFFCE7A8"/>
        <bgColor rgb="FFF6DCC0"/>
      </patternFill>
    </fill>
    <fill>
      <patternFill patternType="solid">
        <fgColor rgb="FFF6DCC0"/>
        <bgColor rgb="FFFCE7A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5" fontId="13"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4A"/>
          <bgColor rgb="FF000000"/>
        </patternFill>
      </fill>
    </dxf>
    <dxf>
      <fill>
        <patternFill patternType="solid">
          <bgColor rgb="FF000000"/>
        </patternFill>
      </fill>
    </dxf>
    <dxf>
      <fill>
        <patternFill patternType="solid">
          <fgColor rgb="FFFFFFFF"/>
          <bgColor rgb="FF000000"/>
        </patternFill>
      </fill>
    </dxf>
    <dxf>
      <fill>
        <patternFill patternType="solid">
          <fgColor rgb="FFC6E6C6"/>
          <bgColor rgb="FF000000"/>
        </patternFill>
      </fill>
    </dxf>
    <dxf>
      <fill>
        <patternFill patternType="solid">
          <fgColor rgb="FFD9C6F0"/>
          <bgColor rgb="FF000000"/>
        </patternFill>
      </fill>
    </dxf>
    <dxf>
      <fill>
        <patternFill patternType="solid">
          <fgColor rgb="FFF5C2C2"/>
          <bgColor rgb="FF000000"/>
        </patternFill>
      </fill>
    </dxf>
    <dxf>
      <fill>
        <patternFill patternType="solid">
          <fgColor rgb="FFF6DCC0"/>
          <bgColor rgb="FF000000"/>
        </patternFill>
      </fill>
    </dxf>
    <dxf>
      <fill>
        <patternFill patternType="solid">
          <fgColor rgb="FFFCE7A8"/>
          <bgColor rgb="FF000000"/>
        </patternFill>
      </fill>
    </dxf>
    <dxf>
      <fill>
        <patternFill patternType="solid">
          <fgColor rgb="FF1E5C1E"/>
          <bgColor rgb="FF000000"/>
        </patternFill>
      </fill>
    </dxf>
    <dxf>
      <fill>
        <patternFill patternType="solid">
          <fgColor rgb="FF4B2E7A"/>
          <bgColor rgb="FF000000"/>
        </patternFill>
      </fill>
    </dxf>
    <dxf>
      <fill>
        <patternFill patternType="solid">
          <fgColor rgb="FF7A5A00"/>
          <bgColor rgb="FF000000"/>
        </patternFill>
      </fill>
    </dxf>
    <dxf>
      <fill>
        <patternFill patternType="solid">
          <fgColor rgb="FF8A1F1F"/>
          <bgColor rgb="FF000000"/>
        </patternFill>
      </fill>
    </dxf>
    <dxf>
      <fill>
        <patternFill patternType="solid">
          <fgColor rgb="FF8A4A12"/>
          <bgColor rgb="FF000000"/>
        </patternFill>
      </fill>
    </dxf>
  </dxfs>
  <colors>
    <indexedColors>
      <rgbColor rgb="FF000000"/>
      <rgbColor rgb="FFFFFFFF"/>
      <rgbColor rgb="FFFF0000"/>
      <rgbColor rgb="FF00FF00"/>
      <rgbColor rgb="FF0000FF"/>
      <rgbColor rgb="FFFFFF00"/>
      <rgbColor rgb="FFFF00FF"/>
      <rgbColor rgb="FF00FFFF"/>
      <rgbColor rgb="FF800000"/>
      <rgbColor rgb="FF1E5C1E"/>
      <rgbColor rgb="FF000080"/>
      <rgbColor rgb="FF7A5A00"/>
      <rgbColor rgb="FF800080"/>
      <rgbColor rgb="FF008080"/>
      <rgbColor rgb="FFD9D9D9"/>
      <rgbColor rgb="FF808080"/>
      <rgbColor rgb="FF9999FF"/>
      <rgbColor rgb="FF8A4A12"/>
      <rgbColor rgb="FFF6DCC0"/>
      <rgbColor rgb="FFCCFFFF"/>
      <rgbColor rgb="FF660066"/>
      <rgbColor rgb="FFFF8080"/>
      <rgbColor rgb="FF0066CC"/>
      <rgbColor rgb="FFD9C6F0"/>
      <rgbColor rgb="FF000080"/>
      <rgbColor rgb="FFFF00FF"/>
      <rgbColor rgb="FFFFFF00"/>
      <rgbColor rgb="FF00FFFF"/>
      <rgbColor rgb="FF800080"/>
      <rgbColor rgb="FF800000"/>
      <rgbColor rgb="FF008080"/>
      <rgbColor rgb="FF0000FF"/>
      <rgbColor rgb="FF00CCFF"/>
      <rgbColor rgb="FFCCFFFF"/>
      <rgbColor rgb="FFC6E6C6"/>
      <rgbColor rgb="FFFCE7A8"/>
      <rgbColor rgb="FF99CCFF"/>
      <rgbColor rgb="FFFF99CC"/>
      <rgbColor rgb="FFCC99FF"/>
      <rgbColor rgb="FFF5C2C2"/>
      <rgbColor rgb="FF3366FF"/>
      <rgbColor rgb="FF33CCCC"/>
      <rgbColor rgb="FF99CC00"/>
      <rgbColor rgb="FFFFCC00"/>
      <rgbColor rgb="FFFF9900"/>
      <rgbColor rgb="FFFF6600"/>
      <rgbColor rgb="FF555555"/>
      <rgbColor rgb="FF969696"/>
      <rgbColor rgb="FF003366"/>
      <rgbColor rgb="FF339966"/>
      <rgbColor rgb="FF003300"/>
      <rgbColor rgb="FF333300"/>
      <rgbColor rgb="FF8A1F1F"/>
      <rgbColor rgb="FF993366"/>
      <rgbColor rgb="FF4B2E7A"/>
      <rgbColor rgb="FF1F4E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estCases" displayName="TestCases" ref="A4:L51" headerRowCount="1" totalsRowCount="0" totalsRowShown="0">
  <autoFilter ref="A4:L51"/>
  <tableColumns count="12">
    <tableColumn id="1" name="TC ID"/>
    <tableColumn id="2" name="User Story"/>
    <tableColumn id="3" name="Acceptance Criteria"/>
    <tableColumn id="4" name="Test Case Description"/>
    <tableColumn id="5" name="Test Steps"/>
    <tableColumn id="6" name="Expected Result"/>
    <tableColumn id="7" name="Evidence in Screenshot Doc"/>
    <tableColumn id="8" name="Status"/>
    <tableColumn id="9" name="Category"/>
    <tableColumn id="10" name="Recommended Action"/>
    <tableColumn id="11" name="Tester Actual Result"/>
    <tableColumn id="12" name="Bug / Clarification Ref"/>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22"/>
    <col collapsed="false" customWidth="true" hidden="false" outlineLevel="0" max="4" min="4" style="0" width="30"/>
    <col collapsed="false" customWidth="true" hidden="false" outlineLevel="0" max="6" min="5" style="0" width="32"/>
    <col collapsed="false" customWidth="true" hidden="false" outlineLevel="0" max="7" min="7" style="0" width="26"/>
    <col collapsed="false" customWidth="true" hidden="false" outlineLevel="0" max="8" min="8" style="0" width="12"/>
    <col collapsed="false" customWidth="true" hidden="false" outlineLevel="0" max="9" min="9" style="0" width="14"/>
    <col collapsed="false" customWidth="true" hidden="false" outlineLevel="0" max="10" min="10" style="0" width="34"/>
    <col collapsed="false" customWidth="true" hidden="false" outlineLevel="0" max="11" min="11" style="0" width="20"/>
    <col collapsed="false" customWidth="true" hidden="false" outlineLevel="0" max="12" min="12" style="0" width="18"/>
  </cols>
  <sheetData>
    <row r="1" customFormat="false" ht="19.5" hidden="false" customHeight="true" outlineLevel="0" collapsed="false">
      <c r="A1" s="1" t="s">
        <v>0</v>
      </c>
      <c r="B1" s="1"/>
      <c r="C1" s="1"/>
      <c r="D1" s="1"/>
      <c r="E1" s="1"/>
      <c r="F1" s="1"/>
      <c r="G1" s="1"/>
      <c r="H1" s="1"/>
      <c r="I1" s="1"/>
      <c r="J1" s="1"/>
      <c r="K1" s="1"/>
      <c r="L1" s="1"/>
    </row>
    <row r="2" customFormat="false" ht="13.5" hidden="false" customHeight="true" outlineLevel="0" collapsed="false">
      <c r="A2" s="2" t="s">
        <v>1</v>
      </c>
      <c r="B2" s="2"/>
      <c r="C2" s="2"/>
      <c r="D2" s="2"/>
      <c r="E2" s="2"/>
      <c r="F2" s="2"/>
      <c r="G2" s="2"/>
      <c r="H2" s="2"/>
      <c r="I2" s="2"/>
      <c r="J2" s="2"/>
      <c r="K2" s="2"/>
      <c r="L2" s="2"/>
    </row>
    <row r="4" customFormat="false" ht="23.8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74.6" hidden="false" customHeight="false" outlineLevel="0" collapsed="false">
      <c r="A5" s="4" t="s">
        <v>14</v>
      </c>
      <c r="B5" s="4" t="s">
        <v>15</v>
      </c>
      <c r="C5" s="4" t="s">
        <v>16</v>
      </c>
      <c r="D5" s="4" t="s">
        <v>17</v>
      </c>
      <c r="E5" s="4" t="s">
        <v>18</v>
      </c>
      <c r="F5" s="4" t="s">
        <v>19</v>
      </c>
      <c r="G5" s="4" t="s">
        <v>20</v>
      </c>
      <c r="H5" s="5" t="s">
        <v>21</v>
      </c>
      <c r="I5" s="4" t="s">
        <v>22</v>
      </c>
      <c r="J5" s="4" t="s">
        <v>23</v>
      </c>
      <c r="K5" s="4"/>
      <c r="L5" s="4"/>
    </row>
    <row r="6" customFormat="false" ht="53.7" hidden="false" customHeight="false" outlineLevel="0" collapsed="false">
      <c r="A6" s="4" t="s">
        <v>24</v>
      </c>
      <c r="B6" s="4" t="s">
        <v>15</v>
      </c>
      <c r="C6" s="4" t="s">
        <v>25</v>
      </c>
      <c r="D6" s="4" t="s">
        <v>26</v>
      </c>
      <c r="E6" s="4" t="s">
        <v>27</v>
      </c>
      <c r="F6" s="4" t="s">
        <v>28</v>
      </c>
      <c r="G6" s="4" t="s">
        <v>29</v>
      </c>
      <c r="H6" s="6" t="s">
        <v>30</v>
      </c>
      <c r="I6" s="4" t="s">
        <v>31</v>
      </c>
      <c r="J6" s="4" t="s">
        <v>32</v>
      </c>
      <c r="K6" s="4"/>
      <c r="L6" s="4"/>
    </row>
    <row r="7" customFormat="false" ht="74.6" hidden="false" customHeight="false" outlineLevel="0" collapsed="false">
      <c r="A7" s="4" t="s">
        <v>33</v>
      </c>
      <c r="B7" s="4" t="s">
        <v>15</v>
      </c>
      <c r="C7" s="4" t="s">
        <v>34</v>
      </c>
      <c r="D7" s="4" t="s">
        <v>35</v>
      </c>
      <c r="E7" s="4" t="s">
        <v>36</v>
      </c>
      <c r="F7" s="4" t="s">
        <v>37</v>
      </c>
      <c r="G7" s="4" t="s">
        <v>38</v>
      </c>
      <c r="H7" s="6" t="s">
        <v>30</v>
      </c>
      <c r="I7" s="4" t="s">
        <v>31</v>
      </c>
      <c r="J7" s="4" t="s">
        <v>39</v>
      </c>
      <c r="K7" s="4"/>
      <c r="L7" s="4"/>
    </row>
    <row r="8" customFormat="false" ht="32.8" hidden="false" customHeight="false" outlineLevel="0" collapsed="false">
      <c r="A8" s="4" t="s">
        <v>40</v>
      </c>
      <c r="B8" s="4" t="s">
        <v>15</v>
      </c>
      <c r="C8" s="4" t="s">
        <v>41</v>
      </c>
      <c r="D8" s="4" t="s">
        <v>42</v>
      </c>
      <c r="E8" s="4" t="s">
        <v>43</v>
      </c>
      <c r="F8" s="4" t="s">
        <v>44</v>
      </c>
      <c r="G8" s="4" t="s">
        <v>45</v>
      </c>
      <c r="H8" s="7" t="s">
        <v>46</v>
      </c>
      <c r="I8" s="4" t="s">
        <v>47</v>
      </c>
      <c r="J8" s="4" t="s">
        <v>48</v>
      </c>
      <c r="K8" s="4"/>
      <c r="L8" s="4"/>
    </row>
    <row r="9" customFormat="false" ht="32.8" hidden="false" customHeight="false" outlineLevel="0" collapsed="false">
      <c r="A9" s="4" t="s">
        <v>49</v>
      </c>
      <c r="B9" s="4" t="s">
        <v>50</v>
      </c>
      <c r="C9" s="4" t="s">
        <v>51</v>
      </c>
      <c r="D9" s="4" t="s">
        <v>52</v>
      </c>
      <c r="E9" s="4" t="s">
        <v>53</v>
      </c>
      <c r="F9" s="4" t="s">
        <v>54</v>
      </c>
      <c r="G9" s="4" t="s">
        <v>55</v>
      </c>
      <c r="H9" s="7" t="s">
        <v>46</v>
      </c>
      <c r="I9" s="4" t="s">
        <v>47</v>
      </c>
      <c r="J9" s="4" t="s">
        <v>56</v>
      </c>
      <c r="K9" s="4"/>
      <c r="L9" s="4"/>
    </row>
    <row r="10" customFormat="false" ht="53.7" hidden="false" customHeight="false" outlineLevel="0" collapsed="false">
      <c r="A10" s="4" t="s">
        <v>57</v>
      </c>
      <c r="B10" s="4" t="s">
        <v>58</v>
      </c>
      <c r="C10" s="4" t="s">
        <v>59</v>
      </c>
      <c r="D10" s="4" t="s">
        <v>60</v>
      </c>
      <c r="E10" s="4" t="s">
        <v>61</v>
      </c>
      <c r="F10" s="4" t="s">
        <v>62</v>
      </c>
      <c r="G10" s="4" t="s">
        <v>63</v>
      </c>
      <c r="H10" s="5" t="s">
        <v>21</v>
      </c>
      <c r="I10" s="4" t="s">
        <v>22</v>
      </c>
      <c r="J10" s="4" t="s">
        <v>64</v>
      </c>
      <c r="K10" s="4"/>
      <c r="L10" s="4"/>
    </row>
    <row r="11" customFormat="false" ht="32.8" hidden="false" customHeight="false" outlineLevel="0" collapsed="false">
      <c r="A11" s="4" t="s">
        <v>65</v>
      </c>
      <c r="B11" s="4" t="s">
        <v>58</v>
      </c>
      <c r="C11" s="4" t="s">
        <v>66</v>
      </c>
      <c r="D11" s="4" t="s">
        <v>67</v>
      </c>
      <c r="E11" s="4" t="s">
        <v>68</v>
      </c>
      <c r="F11" s="4" t="s">
        <v>69</v>
      </c>
      <c r="G11" s="4" t="s">
        <v>45</v>
      </c>
      <c r="H11" s="7" t="s">
        <v>46</v>
      </c>
      <c r="I11" s="4" t="s">
        <v>47</v>
      </c>
      <c r="J11" s="4" t="s">
        <v>70</v>
      </c>
      <c r="K11" s="4"/>
      <c r="L11" s="4"/>
    </row>
    <row r="12" customFormat="false" ht="43.25" hidden="false" customHeight="false" outlineLevel="0" collapsed="false">
      <c r="A12" s="4" t="s">
        <v>71</v>
      </c>
      <c r="B12" s="4" t="s">
        <v>58</v>
      </c>
      <c r="C12" s="4" t="s">
        <v>72</v>
      </c>
      <c r="D12" s="4" t="s">
        <v>73</v>
      </c>
      <c r="E12" s="4" t="s">
        <v>74</v>
      </c>
      <c r="F12" s="4" t="s">
        <v>75</v>
      </c>
      <c r="G12" s="4" t="s">
        <v>76</v>
      </c>
      <c r="H12" s="7" t="s">
        <v>46</v>
      </c>
      <c r="I12" s="4" t="s">
        <v>47</v>
      </c>
      <c r="J12" s="4" t="s">
        <v>77</v>
      </c>
      <c r="K12" s="4"/>
      <c r="L12" s="4"/>
    </row>
    <row r="13" customFormat="false" ht="95.5" hidden="false" customHeight="false" outlineLevel="0" collapsed="false">
      <c r="A13" s="4" t="s">
        <v>78</v>
      </c>
      <c r="B13" s="4" t="s">
        <v>79</v>
      </c>
      <c r="C13" s="4" t="s">
        <v>80</v>
      </c>
      <c r="D13" s="4" t="s">
        <v>81</v>
      </c>
      <c r="E13" s="4" t="s">
        <v>82</v>
      </c>
      <c r="F13" s="4" t="s">
        <v>83</v>
      </c>
      <c r="G13" s="4" t="s">
        <v>84</v>
      </c>
      <c r="H13" s="5" t="s">
        <v>21</v>
      </c>
      <c r="I13" s="4" t="s">
        <v>22</v>
      </c>
      <c r="J13" s="4" t="s">
        <v>85</v>
      </c>
      <c r="K13" s="4"/>
      <c r="L13" s="4"/>
    </row>
    <row r="14" customFormat="false" ht="74.6" hidden="false" customHeight="false" outlineLevel="0" collapsed="false">
      <c r="A14" s="4" t="s">
        <v>86</v>
      </c>
      <c r="B14" s="4" t="s">
        <v>79</v>
      </c>
      <c r="C14" s="4" t="s">
        <v>87</v>
      </c>
      <c r="D14" s="4" t="s">
        <v>88</v>
      </c>
      <c r="E14" s="4" t="s">
        <v>89</v>
      </c>
      <c r="F14" s="4" t="s">
        <v>90</v>
      </c>
      <c r="G14" s="4" t="s">
        <v>91</v>
      </c>
      <c r="H14" s="8" t="s">
        <v>92</v>
      </c>
      <c r="I14" s="4" t="s">
        <v>22</v>
      </c>
      <c r="J14" s="4" t="s">
        <v>93</v>
      </c>
      <c r="K14" s="4"/>
      <c r="L14" s="4"/>
    </row>
    <row r="15" customFormat="false" ht="32.8" hidden="false" customHeight="false" outlineLevel="0" collapsed="false">
      <c r="A15" s="4" t="s">
        <v>94</v>
      </c>
      <c r="B15" s="4" t="s">
        <v>79</v>
      </c>
      <c r="C15" s="4" t="s">
        <v>95</v>
      </c>
      <c r="D15" s="4" t="s">
        <v>96</v>
      </c>
      <c r="E15" s="4" t="s">
        <v>97</v>
      </c>
      <c r="F15" s="4" t="s">
        <v>98</v>
      </c>
      <c r="G15" s="4" t="s">
        <v>99</v>
      </c>
      <c r="H15" s="7" t="s">
        <v>46</v>
      </c>
      <c r="I15" s="4" t="s">
        <v>47</v>
      </c>
      <c r="J15" s="4" t="s">
        <v>100</v>
      </c>
      <c r="K15" s="4"/>
      <c r="L15" s="4"/>
    </row>
    <row r="16" customFormat="false" ht="64.15" hidden="false" customHeight="false" outlineLevel="0" collapsed="false">
      <c r="A16" s="4" t="s">
        <v>101</v>
      </c>
      <c r="B16" s="4" t="s">
        <v>102</v>
      </c>
      <c r="C16" s="4" t="s">
        <v>103</v>
      </c>
      <c r="D16" s="4" t="s">
        <v>104</v>
      </c>
      <c r="E16" s="4" t="s">
        <v>105</v>
      </c>
      <c r="F16" s="4" t="s">
        <v>106</v>
      </c>
      <c r="G16" s="4" t="s">
        <v>107</v>
      </c>
      <c r="H16" s="7" t="s">
        <v>46</v>
      </c>
      <c r="I16" s="4" t="s">
        <v>47</v>
      </c>
      <c r="J16" s="4" t="s">
        <v>108</v>
      </c>
      <c r="K16" s="4"/>
      <c r="L16" s="4"/>
    </row>
    <row r="17" customFormat="false" ht="32.8" hidden="false" customHeight="false" outlineLevel="0" collapsed="false">
      <c r="A17" s="4" t="s">
        <v>109</v>
      </c>
      <c r="B17" s="4" t="s">
        <v>110</v>
      </c>
      <c r="C17" s="4" t="s">
        <v>111</v>
      </c>
      <c r="D17" s="4" t="s">
        <v>112</v>
      </c>
      <c r="E17" s="4" t="s">
        <v>113</v>
      </c>
      <c r="F17" s="4" t="s">
        <v>114</v>
      </c>
      <c r="G17" s="4" t="s">
        <v>45</v>
      </c>
      <c r="H17" s="7" t="s">
        <v>46</v>
      </c>
      <c r="I17" s="4" t="s">
        <v>47</v>
      </c>
      <c r="J17" s="4" t="s">
        <v>115</v>
      </c>
      <c r="K17" s="4"/>
      <c r="L17" s="4"/>
    </row>
    <row r="18" customFormat="false" ht="32.8" hidden="false" customHeight="false" outlineLevel="0" collapsed="false">
      <c r="A18" s="4" t="s">
        <v>116</v>
      </c>
      <c r="B18" s="4" t="s">
        <v>110</v>
      </c>
      <c r="C18" s="4" t="s">
        <v>117</v>
      </c>
      <c r="D18" s="4" t="s">
        <v>118</v>
      </c>
      <c r="E18" s="4" t="s">
        <v>119</v>
      </c>
      <c r="F18" s="4" t="s">
        <v>120</v>
      </c>
      <c r="G18" s="4" t="s">
        <v>45</v>
      </c>
      <c r="H18" s="7" t="s">
        <v>46</v>
      </c>
      <c r="I18" s="4" t="s">
        <v>47</v>
      </c>
      <c r="J18" s="4" t="s">
        <v>121</v>
      </c>
      <c r="K18" s="4"/>
      <c r="L18" s="4"/>
    </row>
    <row r="19" customFormat="false" ht="32.8" hidden="false" customHeight="false" outlineLevel="0" collapsed="false">
      <c r="A19" s="4" t="s">
        <v>122</v>
      </c>
      <c r="B19" s="4" t="s">
        <v>123</v>
      </c>
      <c r="C19" s="4" t="s">
        <v>124</v>
      </c>
      <c r="D19" s="4" t="s">
        <v>125</v>
      </c>
      <c r="E19" s="4" t="s">
        <v>126</v>
      </c>
      <c r="F19" s="4" t="s">
        <v>127</v>
      </c>
      <c r="G19" s="4" t="s">
        <v>128</v>
      </c>
      <c r="H19" s="6" t="s">
        <v>30</v>
      </c>
      <c r="I19" s="4" t="s">
        <v>31</v>
      </c>
      <c r="J19" s="4" t="s">
        <v>129</v>
      </c>
      <c r="K19" s="4"/>
      <c r="L19" s="4"/>
    </row>
    <row r="20" customFormat="false" ht="43.25" hidden="false" customHeight="false" outlineLevel="0" collapsed="false">
      <c r="A20" s="4" t="s">
        <v>130</v>
      </c>
      <c r="B20" s="4" t="s">
        <v>123</v>
      </c>
      <c r="C20" s="4" t="s">
        <v>131</v>
      </c>
      <c r="D20" s="4" t="s">
        <v>132</v>
      </c>
      <c r="E20" s="4" t="s">
        <v>133</v>
      </c>
      <c r="F20" s="4" t="s">
        <v>134</v>
      </c>
      <c r="G20" s="4" t="s">
        <v>135</v>
      </c>
      <c r="H20" s="6" t="s">
        <v>30</v>
      </c>
      <c r="I20" s="4" t="s">
        <v>31</v>
      </c>
      <c r="J20" s="4" t="s">
        <v>136</v>
      </c>
      <c r="K20" s="4"/>
      <c r="L20" s="4"/>
    </row>
    <row r="21" customFormat="false" ht="64.15" hidden="false" customHeight="false" outlineLevel="0" collapsed="false">
      <c r="A21" s="4" t="s">
        <v>137</v>
      </c>
      <c r="B21" s="4" t="s">
        <v>123</v>
      </c>
      <c r="C21" s="4" t="s">
        <v>138</v>
      </c>
      <c r="D21" s="4" t="s">
        <v>139</v>
      </c>
      <c r="E21" s="4" t="s">
        <v>140</v>
      </c>
      <c r="F21" s="4" t="s">
        <v>141</v>
      </c>
      <c r="G21" s="4" t="s">
        <v>142</v>
      </c>
      <c r="H21" s="7" t="s">
        <v>46</v>
      </c>
      <c r="I21" s="4" t="s">
        <v>47</v>
      </c>
      <c r="J21" s="4" t="s">
        <v>143</v>
      </c>
      <c r="K21" s="4"/>
      <c r="L21" s="4"/>
    </row>
    <row r="22" customFormat="false" ht="32.8" hidden="false" customHeight="false" outlineLevel="0" collapsed="false">
      <c r="A22" s="4" t="s">
        <v>144</v>
      </c>
      <c r="B22" s="4" t="s">
        <v>123</v>
      </c>
      <c r="C22" s="4" t="s">
        <v>145</v>
      </c>
      <c r="D22" s="4" t="s">
        <v>146</v>
      </c>
      <c r="E22" s="4" t="s">
        <v>147</v>
      </c>
      <c r="F22" s="4" t="s">
        <v>148</v>
      </c>
      <c r="G22" s="4" t="s">
        <v>149</v>
      </c>
      <c r="H22" s="6" t="s">
        <v>30</v>
      </c>
      <c r="I22" s="4" t="s">
        <v>31</v>
      </c>
      <c r="J22" s="4" t="s">
        <v>150</v>
      </c>
      <c r="K22" s="4"/>
      <c r="L22" s="4"/>
    </row>
    <row r="23" customFormat="false" ht="32.8" hidden="false" customHeight="false" outlineLevel="0" collapsed="false">
      <c r="A23" s="4" t="s">
        <v>151</v>
      </c>
      <c r="B23" s="4" t="s">
        <v>123</v>
      </c>
      <c r="C23" s="4" t="s">
        <v>152</v>
      </c>
      <c r="D23" s="4" t="s">
        <v>153</v>
      </c>
      <c r="E23" s="4" t="s">
        <v>154</v>
      </c>
      <c r="F23" s="4" t="s">
        <v>155</v>
      </c>
      <c r="G23" s="4" t="s">
        <v>156</v>
      </c>
      <c r="H23" s="7" t="s">
        <v>46</v>
      </c>
      <c r="I23" s="4" t="s">
        <v>47</v>
      </c>
      <c r="J23" s="4" t="s">
        <v>157</v>
      </c>
      <c r="K23" s="4"/>
      <c r="L23" s="4"/>
    </row>
    <row r="24" customFormat="false" ht="32.8" hidden="false" customHeight="false" outlineLevel="0" collapsed="false">
      <c r="A24" s="4" t="s">
        <v>158</v>
      </c>
      <c r="B24" s="4" t="s">
        <v>159</v>
      </c>
      <c r="C24" s="4" t="s">
        <v>160</v>
      </c>
      <c r="D24" s="4" t="s">
        <v>161</v>
      </c>
      <c r="E24" s="4" t="s">
        <v>162</v>
      </c>
      <c r="F24" s="4" t="s">
        <v>163</v>
      </c>
      <c r="G24" s="4" t="s">
        <v>164</v>
      </c>
      <c r="H24" s="6" t="s">
        <v>30</v>
      </c>
      <c r="I24" s="4" t="s">
        <v>31</v>
      </c>
      <c r="J24" s="4" t="s">
        <v>165</v>
      </c>
      <c r="K24" s="4"/>
      <c r="L24" s="4"/>
    </row>
    <row r="25" customFormat="false" ht="43.25" hidden="false" customHeight="false" outlineLevel="0" collapsed="false">
      <c r="A25" s="4" t="s">
        <v>166</v>
      </c>
      <c r="B25" s="4" t="s">
        <v>159</v>
      </c>
      <c r="C25" s="4" t="s">
        <v>167</v>
      </c>
      <c r="D25" s="4" t="s">
        <v>168</v>
      </c>
      <c r="E25" s="4" t="s">
        <v>169</v>
      </c>
      <c r="F25" s="4" t="s">
        <v>170</v>
      </c>
      <c r="G25" s="4" t="s">
        <v>171</v>
      </c>
      <c r="H25" s="6" t="s">
        <v>30</v>
      </c>
      <c r="I25" s="4" t="s">
        <v>31</v>
      </c>
      <c r="J25" s="4" t="s">
        <v>165</v>
      </c>
      <c r="K25" s="4"/>
      <c r="L25" s="4"/>
    </row>
    <row r="26" customFormat="false" ht="53.7" hidden="false" customHeight="false" outlineLevel="0" collapsed="false">
      <c r="A26" s="4" t="s">
        <v>172</v>
      </c>
      <c r="B26" s="4" t="s">
        <v>159</v>
      </c>
      <c r="C26" s="4" t="s">
        <v>173</v>
      </c>
      <c r="D26" s="4" t="s">
        <v>174</v>
      </c>
      <c r="E26" s="4" t="s">
        <v>175</v>
      </c>
      <c r="F26" s="4" t="s">
        <v>176</v>
      </c>
      <c r="G26" s="4" t="s">
        <v>177</v>
      </c>
      <c r="H26" s="6" t="s">
        <v>30</v>
      </c>
      <c r="I26" s="4" t="s">
        <v>31</v>
      </c>
      <c r="J26" s="4" t="s">
        <v>165</v>
      </c>
      <c r="K26" s="4"/>
      <c r="L26" s="4"/>
    </row>
    <row r="27" customFormat="false" ht="43.25" hidden="false" customHeight="false" outlineLevel="0" collapsed="false">
      <c r="A27" s="4" t="s">
        <v>178</v>
      </c>
      <c r="B27" s="4" t="s">
        <v>159</v>
      </c>
      <c r="C27" s="4" t="s">
        <v>179</v>
      </c>
      <c r="D27" s="4" t="s">
        <v>180</v>
      </c>
      <c r="E27" s="4" t="s">
        <v>181</v>
      </c>
      <c r="F27" s="4" t="s">
        <v>182</v>
      </c>
      <c r="G27" s="4" t="s">
        <v>183</v>
      </c>
      <c r="H27" s="8" t="s">
        <v>92</v>
      </c>
      <c r="I27" s="4" t="s">
        <v>31</v>
      </c>
      <c r="J27" s="4" t="s">
        <v>184</v>
      </c>
      <c r="K27" s="4"/>
      <c r="L27" s="4"/>
    </row>
    <row r="28" customFormat="false" ht="32.8" hidden="false" customHeight="false" outlineLevel="0" collapsed="false">
      <c r="A28" s="4" t="s">
        <v>185</v>
      </c>
      <c r="B28" s="4" t="s">
        <v>159</v>
      </c>
      <c r="C28" s="4" t="s">
        <v>186</v>
      </c>
      <c r="D28" s="4" t="s">
        <v>187</v>
      </c>
      <c r="E28" s="4" t="s">
        <v>188</v>
      </c>
      <c r="F28" s="4" t="s">
        <v>189</v>
      </c>
      <c r="G28" s="4" t="s">
        <v>190</v>
      </c>
      <c r="H28" s="7" t="s">
        <v>46</v>
      </c>
      <c r="I28" s="4" t="s">
        <v>47</v>
      </c>
      <c r="J28" s="4" t="s">
        <v>191</v>
      </c>
      <c r="K28" s="4"/>
      <c r="L28" s="4"/>
    </row>
    <row r="29" customFormat="false" ht="43.25" hidden="false" customHeight="false" outlineLevel="0" collapsed="false">
      <c r="A29" s="4" t="s">
        <v>192</v>
      </c>
      <c r="B29" s="4" t="s">
        <v>159</v>
      </c>
      <c r="C29" s="4" t="s">
        <v>193</v>
      </c>
      <c r="D29" s="4" t="s">
        <v>194</v>
      </c>
      <c r="E29" s="4" t="s">
        <v>195</v>
      </c>
      <c r="F29" s="4" t="s">
        <v>196</v>
      </c>
      <c r="G29" s="4" t="s">
        <v>197</v>
      </c>
      <c r="H29" s="7" t="s">
        <v>46</v>
      </c>
      <c r="I29" s="4" t="s">
        <v>47</v>
      </c>
      <c r="J29" s="4" t="s">
        <v>198</v>
      </c>
      <c r="K29" s="4"/>
      <c r="L29" s="4"/>
    </row>
    <row r="30" customFormat="false" ht="74.6" hidden="false" customHeight="false" outlineLevel="0" collapsed="false">
      <c r="A30" s="4" t="s">
        <v>199</v>
      </c>
      <c r="B30" s="4" t="s">
        <v>200</v>
      </c>
      <c r="C30" s="4" t="s">
        <v>201</v>
      </c>
      <c r="D30" s="4" t="s">
        <v>202</v>
      </c>
      <c r="E30" s="4" t="s">
        <v>203</v>
      </c>
      <c r="F30" s="4" t="s">
        <v>204</v>
      </c>
      <c r="G30" s="4" t="s">
        <v>205</v>
      </c>
      <c r="H30" s="8" t="s">
        <v>92</v>
      </c>
      <c r="I30" s="4" t="s">
        <v>206</v>
      </c>
      <c r="J30" s="4" t="s">
        <v>207</v>
      </c>
      <c r="K30" s="4"/>
      <c r="L30" s="4"/>
    </row>
    <row r="31" customFormat="false" ht="64.15" hidden="false" customHeight="false" outlineLevel="0" collapsed="false">
      <c r="A31" s="4" t="s">
        <v>208</v>
      </c>
      <c r="B31" s="4" t="s">
        <v>200</v>
      </c>
      <c r="C31" s="4" t="s">
        <v>209</v>
      </c>
      <c r="D31" s="4" t="s">
        <v>210</v>
      </c>
      <c r="E31" s="4" t="s">
        <v>211</v>
      </c>
      <c r="F31" s="4" t="s">
        <v>212</v>
      </c>
      <c r="G31" s="4" t="s">
        <v>213</v>
      </c>
      <c r="H31" s="8" t="s">
        <v>92</v>
      </c>
      <c r="I31" s="4" t="s">
        <v>206</v>
      </c>
      <c r="J31" s="4" t="s">
        <v>214</v>
      </c>
      <c r="K31" s="4"/>
      <c r="L31" s="4"/>
    </row>
    <row r="32" customFormat="false" ht="95.5" hidden="false" customHeight="false" outlineLevel="0" collapsed="false">
      <c r="A32" s="4" t="s">
        <v>215</v>
      </c>
      <c r="B32" s="4" t="s">
        <v>200</v>
      </c>
      <c r="C32" s="4" t="s">
        <v>216</v>
      </c>
      <c r="D32" s="4" t="s">
        <v>217</v>
      </c>
      <c r="E32" s="4" t="s">
        <v>218</v>
      </c>
      <c r="F32" s="4" t="s">
        <v>219</v>
      </c>
      <c r="G32" s="4" t="s">
        <v>220</v>
      </c>
      <c r="H32" s="5" t="s">
        <v>21</v>
      </c>
      <c r="I32" s="4" t="s">
        <v>206</v>
      </c>
      <c r="J32" s="4" t="s">
        <v>221</v>
      </c>
      <c r="K32" s="4"/>
      <c r="L32" s="4"/>
    </row>
    <row r="33" customFormat="false" ht="32.8" hidden="false" customHeight="false" outlineLevel="0" collapsed="false">
      <c r="A33" s="4" t="s">
        <v>222</v>
      </c>
      <c r="B33" s="4" t="s">
        <v>200</v>
      </c>
      <c r="C33" s="4" t="s">
        <v>223</v>
      </c>
      <c r="D33" s="4" t="s">
        <v>224</v>
      </c>
      <c r="E33" s="4" t="s">
        <v>225</v>
      </c>
      <c r="F33" s="4" t="s">
        <v>226</v>
      </c>
      <c r="G33" s="4" t="s">
        <v>227</v>
      </c>
      <c r="H33" s="7" t="s">
        <v>46</v>
      </c>
      <c r="I33" s="4" t="s">
        <v>47</v>
      </c>
      <c r="J33" s="4" t="s">
        <v>228</v>
      </c>
      <c r="K33" s="4"/>
      <c r="L33" s="4"/>
    </row>
    <row r="34" customFormat="false" ht="32.8" hidden="false" customHeight="false" outlineLevel="0" collapsed="false">
      <c r="A34" s="4" t="s">
        <v>229</v>
      </c>
      <c r="B34" s="4" t="s">
        <v>230</v>
      </c>
      <c r="C34" s="4" t="s">
        <v>231</v>
      </c>
      <c r="D34" s="4" t="s">
        <v>232</v>
      </c>
      <c r="E34" s="4" t="s">
        <v>233</v>
      </c>
      <c r="F34" s="4" t="s">
        <v>234</v>
      </c>
      <c r="G34" s="4" t="s">
        <v>235</v>
      </c>
      <c r="H34" s="6" t="s">
        <v>30</v>
      </c>
      <c r="I34" s="4" t="s">
        <v>31</v>
      </c>
      <c r="J34" s="4" t="s">
        <v>165</v>
      </c>
      <c r="K34" s="4"/>
      <c r="L34" s="4"/>
    </row>
    <row r="35" customFormat="false" ht="32.8" hidden="false" customHeight="false" outlineLevel="0" collapsed="false">
      <c r="A35" s="4" t="s">
        <v>236</v>
      </c>
      <c r="B35" s="4" t="s">
        <v>230</v>
      </c>
      <c r="C35" s="4" t="s">
        <v>237</v>
      </c>
      <c r="D35" s="4" t="s">
        <v>238</v>
      </c>
      <c r="E35" s="4" t="s">
        <v>239</v>
      </c>
      <c r="F35" s="4" t="s">
        <v>240</v>
      </c>
      <c r="G35" s="4" t="s">
        <v>241</v>
      </c>
      <c r="H35" s="7" t="s">
        <v>46</v>
      </c>
      <c r="I35" s="4" t="s">
        <v>47</v>
      </c>
      <c r="J35" s="4" t="s">
        <v>242</v>
      </c>
      <c r="K35" s="4"/>
      <c r="L35" s="4"/>
    </row>
    <row r="36" customFormat="false" ht="43.25" hidden="false" customHeight="false" outlineLevel="0" collapsed="false">
      <c r="A36" s="4" t="s">
        <v>243</v>
      </c>
      <c r="B36" s="4" t="s">
        <v>230</v>
      </c>
      <c r="C36" s="4" t="s">
        <v>244</v>
      </c>
      <c r="D36" s="4" t="s">
        <v>245</v>
      </c>
      <c r="E36" s="4" t="s">
        <v>246</v>
      </c>
      <c r="F36" s="4" t="s">
        <v>247</v>
      </c>
      <c r="G36" s="4" t="s">
        <v>248</v>
      </c>
      <c r="H36" s="6" t="s">
        <v>30</v>
      </c>
      <c r="I36" s="4" t="s">
        <v>31</v>
      </c>
      <c r="J36" s="4" t="s">
        <v>165</v>
      </c>
      <c r="K36" s="4"/>
      <c r="L36" s="4"/>
    </row>
    <row r="37" customFormat="false" ht="43.25" hidden="false" customHeight="false" outlineLevel="0" collapsed="false">
      <c r="A37" s="4" t="s">
        <v>249</v>
      </c>
      <c r="B37" s="4" t="s">
        <v>230</v>
      </c>
      <c r="C37" s="4" t="s">
        <v>250</v>
      </c>
      <c r="D37" s="4" t="s">
        <v>251</v>
      </c>
      <c r="E37" s="4" t="s">
        <v>252</v>
      </c>
      <c r="F37" s="4" t="s">
        <v>253</v>
      </c>
      <c r="G37" s="4" t="s">
        <v>254</v>
      </c>
      <c r="H37" s="7" t="s">
        <v>46</v>
      </c>
      <c r="I37" s="4" t="s">
        <v>47</v>
      </c>
      <c r="J37" s="4" t="s">
        <v>255</v>
      </c>
      <c r="K37" s="4"/>
      <c r="L37" s="4"/>
    </row>
    <row r="38" customFormat="false" ht="32.8" hidden="false" customHeight="false" outlineLevel="0" collapsed="false">
      <c r="A38" s="4" t="s">
        <v>256</v>
      </c>
      <c r="B38" s="4" t="s">
        <v>257</v>
      </c>
      <c r="C38" s="4" t="s">
        <v>258</v>
      </c>
      <c r="D38" s="4" t="s">
        <v>259</v>
      </c>
      <c r="E38" s="4" t="s">
        <v>260</v>
      </c>
      <c r="F38" s="4" t="s">
        <v>261</v>
      </c>
      <c r="G38" s="4" t="s">
        <v>262</v>
      </c>
      <c r="H38" s="7" t="s">
        <v>46</v>
      </c>
      <c r="I38" s="4" t="s">
        <v>47</v>
      </c>
      <c r="J38" s="4" t="s">
        <v>263</v>
      </c>
      <c r="K38" s="4"/>
      <c r="L38" s="4"/>
    </row>
    <row r="39" customFormat="false" ht="85.05" hidden="false" customHeight="false" outlineLevel="0" collapsed="false">
      <c r="A39" s="4" t="s">
        <v>264</v>
      </c>
      <c r="B39" s="4" t="s">
        <v>257</v>
      </c>
      <c r="C39" s="4" t="s">
        <v>265</v>
      </c>
      <c r="D39" s="4" t="s">
        <v>266</v>
      </c>
      <c r="E39" s="4" t="s">
        <v>267</v>
      </c>
      <c r="F39" s="4" t="s">
        <v>268</v>
      </c>
      <c r="G39" s="4" t="s">
        <v>269</v>
      </c>
      <c r="H39" s="5" t="s">
        <v>21</v>
      </c>
      <c r="I39" s="4" t="s">
        <v>206</v>
      </c>
      <c r="J39" s="4" t="s">
        <v>270</v>
      </c>
      <c r="K39" s="4"/>
      <c r="L39" s="4"/>
    </row>
    <row r="40" customFormat="false" ht="43.25" hidden="false" customHeight="false" outlineLevel="0" collapsed="false">
      <c r="A40" s="4" t="s">
        <v>271</v>
      </c>
      <c r="B40" s="4" t="s">
        <v>272</v>
      </c>
      <c r="C40" s="4" t="s">
        <v>273</v>
      </c>
      <c r="D40" s="4" t="s">
        <v>274</v>
      </c>
      <c r="E40" s="4" t="s">
        <v>275</v>
      </c>
      <c r="F40" s="4" t="s">
        <v>276</v>
      </c>
      <c r="G40" s="4" t="s">
        <v>277</v>
      </c>
      <c r="H40" s="7" t="s">
        <v>46</v>
      </c>
      <c r="I40" s="4" t="s">
        <v>47</v>
      </c>
      <c r="J40" s="4" t="s">
        <v>278</v>
      </c>
      <c r="K40" s="4"/>
      <c r="L40" s="4"/>
    </row>
    <row r="41" customFormat="false" ht="43.25" hidden="false" customHeight="false" outlineLevel="0" collapsed="false">
      <c r="A41" s="4" t="s">
        <v>279</v>
      </c>
      <c r="B41" s="4" t="s">
        <v>272</v>
      </c>
      <c r="C41" s="4" t="s">
        <v>280</v>
      </c>
      <c r="D41" s="4" t="s">
        <v>281</v>
      </c>
      <c r="E41" s="4" t="s">
        <v>282</v>
      </c>
      <c r="F41" s="4" t="s">
        <v>283</v>
      </c>
      <c r="G41" s="4" t="s">
        <v>284</v>
      </c>
      <c r="H41" s="7" t="s">
        <v>46</v>
      </c>
      <c r="I41" s="4" t="s">
        <v>47</v>
      </c>
      <c r="J41" s="4" t="s">
        <v>285</v>
      </c>
      <c r="K41" s="4"/>
      <c r="L41" s="4"/>
    </row>
    <row r="42" customFormat="false" ht="64.15" hidden="false" customHeight="false" outlineLevel="0" collapsed="false">
      <c r="A42" s="4" t="s">
        <v>286</v>
      </c>
      <c r="B42" s="4" t="s">
        <v>287</v>
      </c>
      <c r="C42" s="4" t="s">
        <v>288</v>
      </c>
      <c r="D42" s="4" t="s">
        <v>289</v>
      </c>
      <c r="E42" s="4" t="s">
        <v>290</v>
      </c>
      <c r="F42" s="4" t="s">
        <v>291</v>
      </c>
      <c r="G42" s="4" t="s">
        <v>292</v>
      </c>
      <c r="H42" s="9" t="s">
        <v>293</v>
      </c>
      <c r="I42" s="4" t="s">
        <v>294</v>
      </c>
      <c r="J42" s="4" t="s">
        <v>295</v>
      </c>
      <c r="K42" s="4"/>
      <c r="L42" s="4"/>
    </row>
    <row r="43" customFormat="false" ht="53.7" hidden="false" customHeight="false" outlineLevel="0" collapsed="false">
      <c r="A43" s="4" t="s">
        <v>296</v>
      </c>
      <c r="B43" s="4" t="s">
        <v>297</v>
      </c>
      <c r="C43" s="4" t="s">
        <v>298</v>
      </c>
      <c r="D43" s="4" t="s">
        <v>299</v>
      </c>
      <c r="E43" s="4" t="s">
        <v>300</v>
      </c>
      <c r="F43" s="4" t="s">
        <v>301</v>
      </c>
      <c r="G43" s="4" t="s">
        <v>302</v>
      </c>
      <c r="H43" s="9" t="s">
        <v>293</v>
      </c>
      <c r="I43" s="4" t="s">
        <v>206</v>
      </c>
      <c r="J43" s="4" t="s">
        <v>303</v>
      </c>
      <c r="K43" s="4"/>
      <c r="L43" s="4"/>
    </row>
    <row r="44" customFormat="false" ht="64.15" hidden="false" customHeight="false" outlineLevel="0" collapsed="false">
      <c r="A44" s="4" t="s">
        <v>304</v>
      </c>
      <c r="B44" s="4" t="s">
        <v>15</v>
      </c>
      <c r="C44" s="4" t="s">
        <v>305</v>
      </c>
      <c r="D44" s="4" t="s">
        <v>306</v>
      </c>
      <c r="E44" s="4" t="s">
        <v>307</v>
      </c>
      <c r="F44" s="4" t="s">
        <v>308</v>
      </c>
      <c r="G44" s="4" t="s">
        <v>309</v>
      </c>
      <c r="H44" s="5" t="s">
        <v>21</v>
      </c>
      <c r="I44" s="4" t="s">
        <v>22</v>
      </c>
      <c r="J44" s="4" t="s">
        <v>310</v>
      </c>
      <c r="K44" s="4"/>
      <c r="L44" s="4"/>
    </row>
    <row r="45" customFormat="false" ht="64.15" hidden="false" customHeight="false" outlineLevel="0" collapsed="false">
      <c r="A45" s="4" t="s">
        <v>311</v>
      </c>
      <c r="B45" s="4" t="s">
        <v>297</v>
      </c>
      <c r="C45" s="4" t="s">
        <v>312</v>
      </c>
      <c r="D45" s="4" t="s">
        <v>313</v>
      </c>
      <c r="E45" s="4" t="s">
        <v>314</v>
      </c>
      <c r="F45" s="4" t="s">
        <v>315</v>
      </c>
      <c r="G45" s="4" t="s">
        <v>316</v>
      </c>
      <c r="H45" s="9" t="s">
        <v>293</v>
      </c>
      <c r="I45" s="4" t="s">
        <v>206</v>
      </c>
      <c r="J45" s="4" t="s">
        <v>317</v>
      </c>
      <c r="K45" s="4"/>
      <c r="L45" s="4"/>
    </row>
    <row r="46" customFormat="false" ht="64.15" hidden="false" customHeight="false" outlineLevel="0" collapsed="false">
      <c r="A46" s="4" t="s">
        <v>318</v>
      </c>
      <c r="B46" s="4" t="s">
        <v>159</v>
      </c>
      <c r="C46" s="4" t="s">
        <v>319</v>
      </c>
      <c r="D46" s="4" t="s">
        <v>320</v>
      </c>
      <c r="E46" s="4" t="s">
        <v>321</v>
      </c>
      <c r="F46" s="4" t="s">
        <v>322</v>
      </c>
      <c r="G46" s="4" t="s">
        <v>323</v>
      </c>
      <c r="H46" s="9" t="s">
        <v>293</v>
      </c>
      <c r="I46" s="4" t="s">
        <v>22</v>
      </c>
      <c r="J46" s="4" t="s">
        <v>324</v>
      </c>
      <c r="K46" s="4"/>
      <c r="L46" s="4"/>
    </row>
    <row r="47" customFormat="false" ht="74.6" hidden="false" customHeight="false" outlineLevel="0" collapsed="false">
      <c r="A47" s="4" t="s">
        <v>325</v>
      </c>
      <c r="B47" s="4" t="s">
        <v>200</v>
      </c>
      <c r="C47" s="4" t="s">
        <v>326</v>
      </c>
      <c r="D47" s="4" t="s">
        <v>327</v>
      </c>
      <c r="E47" s="4" t="s">
        <v>328</v>
      </c>
      <c r="F47" s="4" t="s">
        <v>329</v>
      </c>
      <c r="G47" s="4" t="s">
        <v>330</v>
      </c>
      <c r="H47" s="8" t="s">
        <v>92</v>
      </c>
      <c r="I47" s="4" t="s">
        <v>206</v>
      </c>
      <c r="J47" s="4" t="s">
        <v>331</v>
      </c>
      <c r="K47" s="4"/>
      <c r="L47" s="4"/>
    </row>
    <row r="48" customFormat="false" ht="64.15" hidden="false" customHeight="false" outlineLevel="0" collapsed="false">
      <c r="A48" s="4" t="s">
        <v>332</v>
      </c>
      <c r="B48" s="4" t="s">
        <v>200</v>
      </c>
      <c r="C48" s="4" t="s">
        <v>333</v>
      </c>
      <c r="D48" s="4" t="s">
        <v>334</v>
      </c>
      <c r="E48" s="4" t="s">
        <v>335</v>
      </c>
      <c r="F48" s="4" t="s">
        <v>336</v>
      </c>
      <c r="G48" s="4" t="s">
        <v>337</v>
      </c>
      <c r="H48" s="7" t="s">
        <v>46</v>
      </c>
      <c r="I48" s="4" t="s">
        <v>47</v>
      </c>
      <c r="J48" s="4" t="s">
        <v>338</v>
      </c>
      <c r="K48" s="4"/>
      <c r="L48" s="4"/>
    </row>
    <row r="49" customFormat="false" ht="53.7" hidden="false" customHeight="false" outlineLevel="0" collapsed="false">
      <c r="A49" s="4" t="s">
        <v>339</v>
      </c>
      <c r="B49" s="4" t="s">
        <v>58</v>
      </c>
      <c r="C49" s="4" t="s">
        <v>340</v>
      </c>
      <c r="D49" s="4" t="s">
        <v>341</v>
      </c>
      <c r="E49" s="4" t="s">
        <v>342</v>
      </c>
      <c r="F49" s="4" t="s">
        <v>343</v>
      </c>
      <c r="G49" s="4" t="s">
        <v>344</v>
      </c>
      <c r="H49" s="7" t="s">
        <v>46</v>
      </c>
      <c r="I49" s="4" t="s">
        <v>47</v>
      </c>
      <c r="J49" s="4" t="s">
        <v>345</v>
      </c>
      <c r="K49" s="4"/>
      <c r="L49" s="4"/>
    </row>
    <row r="50" customFormat="false" ht="74.6" hidden="false" customHeight="false" outlineLevel="0" collapsed="false">
      <c r="A50" s="4" t="s">
        <v>346</v>
      </c>
      <c r="B50" s="4" t="s">
        <v>287</v>
      </c>
      <c r="C50" s="4" t="s">
        <v>347</v>
      </c>
      <c r="D50" s="4" t="s">
        <v>348</v>
      </c>
      <c r="E50" s="4" t="s">
        <v>349</v>
      </c>
      <c r="F50" s="4" t="s">
        <v>350</v>
      </c>
      <c r="G50" s="4" t="s">
        <v>351</v>
      </c>
      <c r="H50" s="9" t="s">
        <v>293</v>
      </c>
      <c r="I50" s="4" t="s">
        <v>294</v>
      </c>
      <c r="J50" s="4" t="s">
        <v>352</v>
      </c>
      <c r="K50" s="4"/>
      <c r="L50" s="4"/>
    </row>
    <row r="51" customFormat="false" ht="85.05" hidden="false" customHeight="false" outlineLevel="0" collapsed="false">
      <c r="A51" s="4" t="s">
        <v>353</v>
      </c>
      <c r="B51" s="4" t="s">
        <v>354</v>
      </c>
      <c r="C51" s="4" t="s">
        <v>355</v>
      </c>
      <c r="D51" s="4" t="s">
        <v>356</v>
      </c>
      <c r="E51" s="4" t="s">
        <v>357</v>
      </c>
      <c r="F51" s="4" t="s">
        <v>358</v>
      </c>
      <c r="G51" s="4" t="s">
        <v>359</v>
      </c>
      <c r="H51" s="9" t="s">
        <v>293</v>
      </c>
      <c r="I51" s="4" t="s">
        <v>360</v>
      </c>
      <c r="J51" s="4" t="s">
        <v>361</v>
      </c>
      <c r="K51" s="4"/>
      <c r="L51" s="4"/>
    </row>
  </sheetData>
  <autoFilter ref="A4:L51"/>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70"/>
  </cols>
  <sheetData>
    <row r="1" customFormat="false" ht="17.35" hidden="false" customHeight="false" outlineLevel="0" collapsed="false">
      <c r="A1" s="1" t="s">
        <v>362</v>
      </c>
      <c r="B1" s="1"/>
      <c r="C1" s="1"/>
    </row>
    <row r="2" customFormat="false" ht="15" hidden="false" customHeight="false" outlineLevel="0" collapsed="false">
      <c r="A2" s="2" t="s">
        <v>363</v>
      </c>
      <c r="B2" s="2"/>
      <c r="C2" s="2"/>
    </row>
    <row r="4" customFormat="false" ht="15" hidden="false" customHeight="false" outlineLevel="0" collapsed="false">
      <c r="A4" s="3" t="s">
        <v>9</v>
      </c>
      <c r="B4" s="3" t="s">
        <v>364</v>
      </c>
      <c r="C4" s="3" t="s">
        <v>365</v>
      </c>
    </row>
    <row r="5" customFormat="false" ht="15" hidden="false" customHeight="false" outlineLevel="0" collapsed="false">
      <c r="A5" s="6" t="s">
        <v>30</v>
      </c>
      <c r="B5" s="10" t="n">
        <f aca="false">COUNTIF('Test Cases'!$H$5:$H$51,A5)</f>
        <v>10</v>
      </c>
      <c r="C5" s="11" t="s">
        <v>366</v>
      </c>
    </row>
    <row r="6" customFormat="false" ht="15" hidden="false" customHeight="false" outlineLevel="0" collapsed="false">
      <c r="A6" s="8" t="s">
        <v>92</v>
      </c>
      <c r="B6" s="10" t="n">
        <f aca="false">COUNTIF('Test Cases'!$H$5:$H$51,A6)</f>
        <v>5</v>
      </c>
      <c r="C6" s="11" t="s">
        <v>367</v>
      </c>
    </row>
    <row r="7" customFormat="false" ht="15" hidden="false" customHeight="false" outlineLevel="0" collapsed="false">
      <c r="A7" s="7" t="s">
        <v>46</v>
      </c>
      <c r="B7" s="10" t="n">
        <f aca="false">COUNTIF('Test Cases'!$H$5:$H$51,A7)</f>
        <v>20</v>
      </c>
      <c r="C7" s="11" t="s">
        <v>368</v>
      </c>
    </row>
    <row r="8" customFormat="false" ht="28.35" hidden="false" customHeight="false" outlineLevel="0" collapsed="false">
      <c r="A8" s="5" t="s">
        <v>21</v>
      </c>
      <c r="B8" s="10" t="n">
        <f aca="false">COUNTIF('Test Cases'!$H$5:$H$51,A8)</f>
        <v>6</v>
      </c>
      <c r="C8" s="11" t="s">
        <v>369</v>
      </c>
    </row>
    <row r="9" customFormat="false" ht="41.75" hidden="false" customHeight="false" outlineLevel="0" collapsed="false">
      <c r="A9" s="9" t="s">
        <v>293</v>
      </c>
      <c r="B9" s="10" t="n">
        <f aca="false">COUNTIF('Test Cases'!$H$5:$H$51,A9)</f>
        <v>6</v>
      </c>
      <c r="C9" s="11" t="s">
        <v>370</v>
      </c>
    </row>
    <row r="10" customFormat="false" ht="15" hidden="false" customHeight="false" outlineLevel="0" collapsed="false">
      <c r="A10" s="12" t="s">
        <v>371</v>
      </c>
      <c r="B10" s="12" t="n">
        <f aca="false">SUM(B5:B9)</f>
        <v>47</v>
      </c>
      <c r="C10" s="13"/>
    </row>
    <row r="12" customFormat="false" ht="45" hidden="false" customHeight="true" outlineLevel="0" collapsed="false">
      <c r="A12" s="14" t="s">
        <v>372</v>
      </c>
      <c r="B12" s="14"/>
      <c r="C12" s="14"/>
    </row>
  </sheetData>
  <mergeCells count="3">
    <mergeCell ref="A1:C1"/>
    <mergeCell ref="A2:C2"/>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2026-09-10T06:27:00Z</dcterms:created>
  <dc:creator>openpyxl</dc:creator>
  <dc:description/>
  <dc:language>en-US</dc:language>
  <cp:lastModifiedBy/>
  <dcterms:modified xsi:type="dcterms:W3CDTF">2026-09-10T06:27:00Z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